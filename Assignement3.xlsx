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aYUSH\"/>
    </mc:Choice>
  </mc:AlternateContent>
  <xr:revisionPtr revIDLastSave="0" documentId="8_{E1EB168E-C013-41BD-B46F-5A0CB3CA874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ivot_Data" sheetId="1" r:id="rId1"/>
    <sheet name="Pivot_Result" sheetId="2" r:id="rId2"/>
    <sheet name="Jan" sheetId="3" r:id="rId3"/>
    <sheet name="Feb" sheetId="4" r:id="rId4"/>
    <sheet name="Mar" sheetId="5" r:id="rId5"/>
    <sheet name="Consolidation" sheetId="6" r:id="rId6"/>
    <sheet name="Subtotal" sheetId="7" r:id="rId7"/>
  </sheets>
  <calcPr calcId="191029"/>
  <pivotCaches>
    <pivotCache cacheId="71" r:id="rId8"/>
    <pivotCache cacheId="69" r:id="rId9"/>
    <pivotCache cacheId="75" r:id="rId10"/>
    <pivotCache cacheId="79" r:id="rId11"/>
    <pivotCache cacheId="83" r:id="rId12"/>
    <pivotCache cacheId="87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7" l="1"/>
  <c r="B3" i="6"/>
  <c r="B2" i="6"/>
  <c r="B5" i="2"/>
  <c r="B4" i="2"/>
  <c r="B3" i="2"/>
  <c r="B2" i="2"/>
</calcChain>
</file>

<file path=xl/sharedStrings.xml><?xml version="1.0" encoding="utf-8"?>
<sst xmlns="http://schemas.openxmlformats.org/spreadsheetml/2006/main" count="102" uniqueCount="28">
  <si>
    <t>Product</t>
  </si>
  <si>
    <t>Category</t>
  </si>
  <si>
    <t>Date</t>
  </si>
  <si>
    <t>Region</t>
  </si>
  <si>
    <t>Sales</t>
  </si>
  <si>
    <t>Laptop</t>
  </si>
  <si>
    <t>Electronics</t>
  </si>
  <si>
    <t>01-01-2024</t>
  </si>
  <si>
    <t>North</t>
  </si>
  <si>
    <t>02-01-2024</t>
  </si>
  <si>
    <t>South</t>
  </si>
  <si>
    <t>Mouse</t>
  </si>
  <si>
    <t>Accessories</t>
  </si>
  <si>
    <t>03-01-2024</t>
  </si>
  <si>
    <t>East</t>
  </si>
  <si>
    <t>Keyboard</t>
  </si>
  <si>
    <t>West</t>
  </si>
  <si>
    <t>Monitor</t>
  </si>
  <si>
    <t>04-01-2024</t>
  </si>
  <si>
    <t>Total Sales</t>
  </si>
  <si>
    <t>Subtotal</t>
  </si>
  <si>
    <t>A</t>
  </si>
  <si>
    <t>B</t>
  </si>
  <si>
    <t>Row Labels</t>
  </si>
  <si>
    <t>Grand Total</t>
  </si>
  <si>
    <t>Sum of Sales</t>
  </si>
  <si>
    <t>(blank)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</si>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</sst>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[Assignement3.xlsx]Pivot_Data!PivotTable27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Pivot_Data!$I$2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Pivot_Data!$H$3:$H$7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Pivot_Data!$I$3:$I$7</c:f>
              <c:numCache>
                <c:formatCode>General</c:formatCode>
                <c:ptCount val="4"/>
                <c:pt idx="0">
                  <c:v>1500</c:v>
                </c:pt>
                <c:pt idx="1">
                  <c:v>80000</c:v>
                </c:pt>
                <c:pt idx="2">
                  <c:v>12000</c:v>
                </c:pt>
                <c:pt idx="3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B-46AC-8032-ADFCEB8CA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3460256"/>
        <c:axId val="2003457376"/>
      </c:barChart>
      <c:catAx>
        <c:axId val="200346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457376"/>
        <c:crosses val="autoZero"/>
        <c:auto val="1"/>
        <c:lblAlgn val="ctr"/>
        <c:lblOffset val="100"/>
        <c:noMultiLvlLbl val="0"/>
      </c:catAx>
      <c:valAx>
        <c:axId val="2003457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46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[Assignement3.xlsx]Pivot_Data!PivotTable28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based on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Pivot_Data!$C$11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Pivot_Data!$B$12:$B$17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Pivot_Data!$C$12:$C$17</c:f>
              <c:numCache>
                <c:formatCode>General</c:formatCode>
                <c:ptCount val="5"/>
                <c:pt idx="0">
                  <c:v>800</c:v>
                </c:pt>
                <c:pt idx="1">
                  <c:v>62500</c:v>
                </c:pt>
                <c:pt idx="2">
                  <c:v>30000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7-4A66-BB8B-CC246CBC3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[Assignement3.xlsx]Pivot_Data!PivotTable29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Pivot_Data!$C$27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Pivot_Data!$B$28:$B$32</c:f>
              <c:strCache>
                <c:ptCount val="4"/>
                <c:pt idx="0">
                  <c:v>01-01-2024</c:v>
                </c:pt>
                <c:pt idx="1">
                  <c:v>02-01-2024</c:v>
                </c:pt>
                <c:pt idx="2">
                  <c:v>03-01-2024</c:v>
                </c:pt>
                <c:pt idx="3">
                  <c:v>04-01-2024</c:v>
                </c:pt>
              </c:strCache>
            </c:strRef>
          </c:cat>
          <c:val>
            <c:numRef>
              <c:f>Pivot_Data!$C$28:$C$32</c:f>
              <c:numCache>
                <c:formatCode>General</c:formatCode>
                <c:ptCount val="4"/>
                <c:pt idx="0">
                  <c:v>50500</c:v>
                </c:pt>
                <c:pt idx="1">
                  <c:v>31500</c:v>
                </c:pt>
                <c:pt idx="2">
                  <c:v>800</c:v>
                </c:pt>
                <c:pt idx="3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65-4806-BC5A-FE22A1B25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4977056"/>
        <c:axId val="1824979936"/>
      </c:lineChart>
      <c:catAx>
        <c:axId val="182497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79936"/>
        <c:crosses val="autoZero"/>
        <c:auto val="1"/>
        <c:lblAlgn val="ctr"/>
        <c:lblOffset val="100"/>
        <c:noMultiLvlLbl val="0"/>
      </c:catAx>
      <c:valAx>
        <c:axId val="18249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7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[Assignement3.xlsx]Pivot_Result!PivotTable30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Pivot_Result!$C$8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Pivot_Result!$B$9:$B$13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Pivot_Result!$C$9:$C$13</c:f>
              <c:numCache>
                <c:formatCode>General</c:formatCode>
                <c:ptCount val="4"/>
                <c:pt idx="0">
                  <c:v>1500</c:v>
                </c:pt>
                <c:pt idx="1">
                  <c:v>80000</c:v>
                </c:pt>
                <c:pt idx="2">
                  <c:v>12000</c:v>
                </c:pt>
                <c:pt idx="3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9-4198-9B93-EB9663CB9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013872"/>
        <c:axId val="375012912"/>
      </c:barChart>
      <c:catAx>
        <c:axId val="37501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012912"/>
        <c:crosses val="autoZero"/>
        <c:auto val="1"/>
        <c:lblAlgn val="ctr"/>
        <c:lblOffset val="100"/>
        <c:noMultiLvlLbl val="0"/>
      </c:catAx>
      <c:valAx>
        <c:axId val="37501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01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[Assignement3.xlsx]Jan!PivotTable31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Jan!$C$5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Jan!$B$6:$B$8</c:f>
              <c:strCache>
                <c:ptCount val="2"/>
                <c:pt idx="0">
                  <c:v>Laptop</c:v>
                </c:pt>
                <c:pt idx="1">
                  <c:v>Mouse</c:v>
                </c:pt>
              </c:strCache>
            </c:strRef>
          </c:cat>
          <c:val>
            <c:numRef>
              <c:f>Jan!$C$6:$C$8</c:f>
              <c:numCache>
                <c:formatCode>General</c:formatCode>
                <c:ptCount val="2"/>
                <c:pt idx="0">
                  <c:v>20000</c:v>
                </c:pt>
                <c:pt idx="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F-4074-AAC5-C40B03DF5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9289440"/>
        <c:axId val="1979288960"/>
      </c:barChart>
      <c:catAx>
        <c:axId val="197928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288960"/>
        <c:crosses val="autoZero"/>
        <c:auto val="1"/>
        <c:lblAlgn val="ctr"/>
        <c:lblOffset val="100"/>
        <c:noMultiLvlLbl val="0"/>
      </c:catAx>
      <c:valAx>
        <c:axId val="197928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28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[Assignement3.xlsx]Feb!PivotTable32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58092738407698"/>
          <c:y val="0.25865522018081066"/>
          <c:w val="0.7484560367454068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Feb!$C$5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Feb!$B$6:$B$8</c:f>
              <c:strCache>
                <c:ptCount val="2"/>
                <c:pt idx="0">
                  <c:v>Laptop</c:v>
                </c:pt>
                <c:pt idx="1">
                  <c:v>Mouse</c:v>
                </c:pt>
              </c:strCache>
            </c:strRef>
          </c:cat>
          <c:val>
            <c:numRef>
              <c:f>Feb!$C$6:$C$8</c:f>
              <c:numCache>
                <c:formatCode>General</c:formatCode>
                <c:ptCount val="2"/>
                <c:pt idx="0">
                  <c:v>30000</c:v>
                </c:pt>
                <c:pt idx="1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A-428E-9757-F5B7AFC91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9286080"/>
        <c:axId val="1979287520"/>
      </c:barChart>
      <c:catAx>
        <c:axId val="197928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287520"/>
        <c:crosses val="autoZero"/>
        <c:auto val="1"/>
        <c:lblAlgn val="ctr"/>
        <c:lblOffset val="100"/>
        <c:noMultiLvlLbl val="0"/>
      </c:catAx>
      <c:valAx>
        <c:axId val="1979287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28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[Assignement3.xlsx]Mar!PivotTable33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Mar!$A$5:$A$7</c:f>
              <c:strCache>
                <c:ptCount val="2"/>
                <c:pt idx="0">
                  <c:v>Laptop</c:v>
                </c:pt>
                <c:pt idx="1">
                  <c:v>Mouse</c:v>
                </c:pt>
              </c:strCache>
            </c:strRef>
          </c:cat>
          <c:val>
            <c:numRef>
              <c:f>Mar!$B$5:$B$7</c:f>
              <c:numCache>
                <c:formatCode>General</c:formatCode>
                <c:ptCount val="2"/>
                <c:pt idx="0">
                  <c:v>25000</c:v>
                </c:pt>
                <c:pt idx="1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8-43AA-BFE8-82892F5F3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176384"/>
        <c:axId val="2002175904"/>
      </c:barChart>
      <c:catAx>
        <c:axId val="200217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175904"/>
        <c:crosses val="autoZero"/>
        <c:auto val="1"/>
        <c:lblAlgn val="ctr"/>
        <c:lblOffset val="100"/>
        <c:noMultiLvlLbl val="0"/>
      </c:catAx>
      <c:valAx>
        <c:axId val="200217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17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0</xdr:row>
      <xdr:rowOff>87630</xdr:rowOff>
    </xdr:from>
    <xdr:to>
      <xdr:col>16</xdr:col>
      <xdr:colOff>419100</xdr:colOff>
      <xdr:row>15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D0807-14CA-554C-5E00-01E368DE2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9</xdr:row>
      <xdr:rowOff>148590</xdr:rowOff>
    </xdr:from>
    <xdr:to>
      <xdr:col>8</xdr:col>
      <xdr:colOff>434340</xdr:colOff>
      <xdr:row>24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F1965F-9222-FEA7-9F66-5A538B4AA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152400</xdr:colOff>
      <xdr:row>26</xdr:row>
      <xdr:rowOff>95250</xdr:rowOff>
    </xdr:from>
    <xdr:to>
      <xdr:col>10</xdr:col>
      <xdr:colOff>15240</xdr:colOff>
      <xdr:row>41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CCCE14-E9F4-4897-7558-008937396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6</xdr:row>
      <xdr:rowOff>41910</xdr:rowOff>
    </xdr:from>
    <xdr:to>
      <xdr:col>12</xdr:col>
      <xdr:colOff>83820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DB57CB-5C49-BE42-8BDD-78C6DD68C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1</xdr:row>
      <xdr:rowOff>163830</xdr:rowOff>
    </xdr:from>
    <xdr:to>
      <xdr:col>10</xdr:col>
      <xdr:colOff>365760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4494D7-33AE-03F8-7A33-289BAAA3A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140970</xdr:rowOff>
    </xdr:from>
    <xdr:to>
      <xdr:col>10</xdr:col>
      <xdr:colOff>457200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6C5462-C6CA-9E6B-FBDC-8A6A11393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0</xdr:row>
      <xdr:rowOff>140970</xdr:rowOff>
    </xdr:from>
    <xdr:to>
      <xdr:col>9</xdr:col>
      <xdr:colOff>586740</xdr:colOff>
      <xdr:row>15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98A4D5-1A6A-E81E-47AA-49237D419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7.803252777776" createdVersion="8" refreshedVersion="8" minRefreshableVersion="3" recordCount="6" xr:uid="{93D60780-6D9E-44C4-BB17-667E8C4C103F}">
  <cacheSource type="worksheet">
    <worksheetSource ref="A1:E7" sheet="Pivot_Data"/>
  </cacheSource>
  <cacheFields count="5">
    <cacheField name="Product" numFmtId="0">
      <sharedItems count="4">
        <s v="Laptop"/>
        <s v="Mouse"/>
        <s v="Keyboard"/>
        <s v="Monitor"/>
      </sharedItems>
    </cacheField>
    <cacheField name="Category" numFmtId="0">
      <sharedItems/>
    </cacheField>
    <cacheField name="Date" numFmtId="0">
      <sharedItems count="4">
        <s v="01-01-2024"/>
        <s v="02-01-2024"/>
        <s v="03-01-2024"/>
        <s v="04-01-2024"/>
      </sharedItems>
    </cacheField>
    <cacheField name="Region" numFmtId="0">
      <sharedItems/>
    </cacheField>
    <cacheField name="Sales" numFmtId="0">
      <sharedItems containsSemiMixedTypes="0" containsString="0" containsNumber="1" containsInteger="1" minValue="500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7.804162615743" createdVersion="8" refreshedVersion="8" minRefreshableVersion="3" recordCount="7" xr:uid="{5B73D25F-4FDB-4229-AC12-33391B7E50A0}">
  <cacheSource type="worksheet">
    <worksheetSource ref="A1:E8" sheet="Pivot_Data"/>
  </cacheSource>
  <cacheFields count="5">
    <cacheField name="Product" numFmtId="0">
      <sharedItems containsBlank="1"/>
    </cacheField>
    <cacheField name="Category" numFmtId="0">
      <sharedItems containsBlank="1"/>
    </cacheField>
    <cacheField name="Date" numFmtId="0">
      <sharedItems containsBlank="1"/>
    </cacheField>
    <cacheField name="Region" numFmtId="0">
      <sharedItems containsBlank="1" count="5">
        <s v="North"/>
        <s v="South"/>
        <s v="East"/>
        <s v="West"/>
        <m/>
      </sharedItems>
    </cacheField>
    <cacheField name="Sales" numFmtId="0">
      <sharedItems containsString="0" containsBlank="1" containsNumber="1" containsInteger="1" minValue="500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7.805439351854" createdVersion="8" refreshedVersion="8" minRefreshableVersion="3" recordCount="4" xr:uid="{968A8DD9-CFB8-4BDC-A701-BE93559D3404}">
  <cacheSource type="worksheet">
    <worksheetSource ref="A1:B5" sheet="Pivot_Result"/>
  </cacheSource>
  <cacheFields count="2">
    <cacheField name="Product" numFmtId="0">
      <sharedItems count="4">
        <s v="Laptop"/>
        <s v="Mouse"/>
        <s v="Keyboard"/>
        <s v="Monitor"/>
      </sharedItems>
    </cacheField>
    <cacheField name="Total Sales" numFmtId="0">
      <sharedItems containsSemiMixedTypes="0" containsString="0" containsNumber="1" containsInteger="1" minValue="1300" maxValue="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7.80579421296" createdVersion="8" refreshedVersion="8" minRefreshableVersion="3" recordCount="2" xr:uid="{271C4686-84EC-434A-895A-C66CDDBBAD16}">
  <cacheSource type="worksheet">
    <worksheetSource ref="A1:B3" sheet="Jan"/>
  </cacheSource>
  <cacheFields count="2">
    <cacheField name="Product" numFmtId="0">
      <sharedItems count="2">
        <s v="Laptop"/>
        <s v="Mouse"/>
      </sharedItems>
    </cacheField>
    <cacheField name="Sales" numFmtId="0">
      <sharedItems containsSemiMixedTypes="0" containsString="0" containsNumber="1" containsInteger="1" minValue="500" maxValue="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7.806122916663" createdVersion="8" refreshedVersion="8" minRefreshableVersion="3" recordCount="2" xr:uid="{136FA883-CB06-4108-96ED-C93E49335F1D}">
  <cacheSource type="worksheet">
    <worksheetSource ref="A1:B3" sheet="Feb"/>
  </cacheSource>
  <cacheFields count="2">
    <cacheField name="Product" numFmtId="0">
      <sharedItems count="2">
        <s v="Laptop"/>
        <s v="Mouse"/>
      </sharedItems>
    </cacheField>
    <cacheField name="Sales" numFmtId="0">
      <sharedItems containsSemiMixedTypes="0" containsString="0" containsNumber="1" containsInteger="1" minValue="800" maxValue="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7.806434953702" createdVersion="8" refreshedVersion="8" minRefreshableVersion="3" recordCount="2" xr:uid="{858795A3-9276-43A2-BC08-ECB1CA2CB4EB}">
  <cacheSource type="worksheet">
    <worksheetSource ref="A1:B3" sheet="Mar"/>
  </cacheSource>
  <cacheFields count="2">
    <cacheField name="Product" numFmtId="0">
      <sharedItems count="2">
        <s v="Laptop"/>
        <s v="Mouse"/>
      </sharedItems>
    </cacheField>
    <cacheField name="Sales" numFmtId="0">
      <sharedItems containsSemiMixedTypes="0" containsString="0" containsNumber="1" containsInteger="1" minValue="600" maxValue="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Electronics"/>
    <x v="0"/>
    <s v="North"/>
    <n v="50000"/>
  </r>
  <r>
    <x v="0"/>
    <s v="Electronics"/>
    <x v="1"/>
    <s v="South"/>
    <n v="30000"/>
  </r>
  <r>
    <x v="1"/>
    <s v="Accessories"/>
    <x v="0"/>
    <s v="North"/>
    <n v="500"/>
  </r>
  <r>
    <x v="1"/>
    <s v="Accessories"/>
    <x v="2"/>
    <s v="East"/>
    <n v="800"/>
  </r>
  <r>
    <x v="2"/>
    <s v="Accessories"/>
    <x v="1"/>
    <s v="West"/>
    <n v="1500"/>
  </r>
  <r>
    <x v="3"/>
    <s v="Electronics"/>
    <x v="3"/>
    <s v="North"/>
    <n v="1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Laptop"/>
    <s v="Electronics"/>
    <s v="01-01-2024"/>
    <x v="0"/>
    <n v="50000"/>
  </r>
  <r>
    <s v="Laptop"/>
    <s v="Electronics"/>
    <s v="02-01-2024"/>
    <x v="1"/>
    <n v="30000"/>
  </r>
  <r>
    <s v="Mouse"/>
    <s v="Accessories"/>
    <s v="01-01-2024"/>
    <x v="0"/>
    <n v="500"/>
  </r>
  <r>
    <s v="Mouse"/>
    <s v="Accessories"/>
    <s v="03-01-2024"/>
    <x v="2"/>
    <n v="800"/>
  </r>
  <r>
    <s v="Keyboard"/>
    <s v="Accessories"/>
    <s v="02-01-2024"/>
    <x v="3"/>
    <n v="1500"/>
  </r>
  <r>
    <s v="Monitor"/>
    <s v="Electronics"/>
    <s v="04-01-2024"/>
    <x v="0"/>
    <n v="12000"/>
  </r>
  <r>
    <m/>
    <m/>
    <m/>
    <x v="4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80000"/>
  </r>
  <r>
    <x v="1"/>
    <n v="1300"/>
  </r>
  <r>
    <x v="2"/>
    <n v="1500"/>
  </r>
  <r>
    <x v="3"/>
    <n v="12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20000"/>
  </r>
  <r>
    <x v="1"/>
    <n v="5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30000"/>
  </r>
  <r>
    <x v="1"/>
    <n v="8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25000"/>
  </r>
  <r>
    <x v="1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D28A7-E2BF-4128-A368-9651AB5BC356}" name="PivotTable29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7:C32" firstHeaderRow="1" firstDataRow="1" firstDataCol="1"/>
  <pivotFields count="5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7DDE1-AB37-433B-BF2D-F64BC54BA048}" name="PivotTable28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11:C17" firstHeaderRow="1" firstDataRow="1" firstDataCol="1"/>
  <pivotFields count="5"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5C718-938E-47F8-AC60-182873909C84}" name="PivotTable27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2:I7" firstHeaderRow="1" firstDataRow="1" firstDataCol="1"/>
  <pivotFields count="5"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0FC2E-532B-45CD-BBF9-4C32D40F5AD0}" name="PivotTable30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8:C13" firstHeaderRow="1" firstDataRow="1" firstDataCol="1"/>
  <pivotFields count="2">
    <pivotField axis="axisRow" showAll="0">
      <items count="5">
        <item x="2"/>
        <item x="0"/>
        <item x="3"/>
        <item x="1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A8950-8BCB-461E-8653-A376077A09A3}" name="PivotTable31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5:C8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91B76-1166-4AB9-A164-216A90F12682}" name="PivotTable32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5:C8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F1BF8-D94D-4E8A-BBEF-413AC2E0B04F}" name="PivotTable33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7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C38" sqref="C38"/>
    </sheetView>
  </sheetViews>
  <sheetFormatPr defaultRowHeight="14.4" x14ac:dyDescent="0.3"/>
  <cols>
    <col min="2" max="2" width="12.5546875" bestFit="1" customWidth="1"/>
    <col min="3" max="3" width="11.6640625" bestFit="1" customWidth="1"/>
    <col min="8" max="8" width="12.5546875" bestFit="1" customWidth="1"/>
    <col min="9" max="9" width="11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">
      <c r="A2" t="s">
        <v>5</v>
      </c>
      <c r="B2" t="s">
        <v>6</v>
      </c>
      <c r="C2" t="s">
        <v>7</v>
      </c>
      <c r="D2" t="s">
        <v>8</v>
      </c>
      <c r="E2">
        <v>50000</v>
      </c>
      <c r="H2" s="1" t="s">
        <v>23</v>
      </c>
      <c r="I2" t="s">
        <v>25</v>
      </c>
    </row>
    <row r="3" spans="1:9" x14ac:dyDescent="0.3">
      <c r="A3" t="s">
        <v>5</v>
      </c>
      <c r="B3" t="s">
        <v>6</v>
      </c>
      <c r="C3" t="s">
        <v>9</v>
      </c>
      <c r="D3" t="s">
        <v>10</v>
      </c>
      <c r="E3">
        <v>30000</v>
      </c>
      <c r="H3" s="2" t="s">
        <v>15</v>
      </c>
      <c r="I3" s="3">
        <v>1500</v>
      </c>
    </row>
    <row r="4" spans="1:9" x14ac:dyDescent="0.3">
      <c r="A4" t="s">
        <v>11</v>
      </c>
      <c r="B4" t="s">
        <v>12</v>
      </c>
      <c r="C4" t="s">
        <v>7</v>
      </c>
      <c r="D4" t="s">
        <v>8</v>
      </c>
      <c r="E4">
        <v>500</v>
      </c>
      <c r="H4" s="2" t="s">
        <v>5</v>
      </c>
      <c r="I4" s="3">
        <v>80000</v>
      </c>
    </row>
    <row r="5" spans="1:9" x14ac:dyDescent="0.3">
      <c r="A5" t="s">
        <v>11</v>
      </c>
      <c r="B5" t="s">
        <v>12</v>
      </c>
      <c r="C5" t="s">
        <v>13</v>
      </c>
      <c r="D5" t="s">
        <v>14</v>
      </c>
      <c r="E5">
        <v>800</v>
      </c>
      <c r="H5" s="2" t="s">
        <v>17</v>
      </c>
      <c r="I5" s="3">
        <v>12000</v>
      </c>
    </row>
    <row r="6" spans="1:9" x14ac:dyDescent="0.3">
      <c r="A6" t="s">
        <v>15</v>
      </c>
      <c r="B6" t="s">
        <v>12</v>
      </c>
      <c r="C6" t="s">
        <v>9</v>
      </c>
      <c r="D6" t="s">
        <v>16</v>
      </c>
      <c r="E6">
        <v>1500</v>
      </c>
      <c r="H6" s="2" t="s">
        <v>11</v>
      </c>
      <c r="I6" s="3">
        <v>1300</v>
      </c>
    </row>
    <row r="7" spans="1:9" x14ac:dyDescent="0.3">
      <c r="A7" t="s">
        <v>17</v>
      </c>
      <c r="B7" t="s">
        <v>6</v>
      </c>
      <c r="C7" t="s">
        <v>18</v>
      </c>
      <c r="D7" t="s">
        <v>8</v>
      </c>
      <c r="E7">
        <v>12000</v>
      </c>
      <c r="H7" s="2" t="s">
        <v>24</v>
      </c>
      <c r="I7" s="3">
        <v>94800</v>
      </c>
    </row>
    <row r="11" spans="1:9" x14ac:dyDescent="0.3">
      <c r="B11" s="1" t="s">
        <v>23</v>
      </c>
      <c r="C11" t="s">
        <v>25</v>
      </c>
    </row>
    <row r="12" spans="1:9" x14ac:dyDescent="0.3">
      <c r="B12" s="2" t="s">
        <v>14</v>
      </c>
      <c r="C12" s="3">
        <v>800</v>
      </c>
    </row>
    <row r="13" spans="1:9" x14ac:dyDescent="0.3">
      <c r="B13" s="2" t="s">
        <v>8</v>
      </c>
      <c r="C13" s="3">
        <v>62500</v>
      </c>
    </row>
    <row r="14" spans="1:9" x14ac:dyDescent="0.3">
      <c r="B14" s="2" t="s">
        <v>10</v>
      </c>
      <c r="C14" s="3">
        <v>30000</v>
      </c>
    </row>
    <row r="15" spans="1:9" x14ac:dyDescent="0.3">
      <c r="B15" s="2" t="s">
        <v>16</v>
      </c>
      <c r="C15" s="3">
        <v>1500</v>
      </c>
    </row>
    <row r="16" spans="1:9" x14ac:dyDescent="0.3">
      <c r="B16" s="2" t="s">
        <v>26</v>
      </c>
      <c r="C16" s="3"/>
    </row>
    <row r="17" spans="2:3" x14ac:dyDescent="0.3">
      <c r="B17" s="2" t="s">
        <v>24</v>
      </c>
      <c r="C17" s="3">
        <v>94800</v>
      </c>
    </row>
    <row r="27" spans="2:3" x14ac:dyDescent="0.3">
      <c r="B27" s="1" t="s">
        <v>23</v>
      </c>
      <c r="C27" t="s">
        <v>25</v>
      </c>
    </row>
    <row r="28" spans="2:3" x14ac:dyDescent="0.3">
      <c r="B28" s="2" t="s">
        <v>7</v>
      </c>
      <c r="C28" s="3">
        <v>50500</v>
      </c>
    </row>
    <row r="29" spans="2:3" x14ac:dyDescent="0.3">
      <c r="B29" s="2" t="s">
        <v>9</v>
      </c>
      <c r="C29" s="3">
        <v>31500</v>
      </c>
    </row>
    <row r="30" spans="2:3" x14ac:dyDescent="0.3">
      <c r="B30" s="2" t="s">
        <v>13</v>
      </c>
      <c r="C30" s="3">
        <v>800</v>
      </c>
    </row>
    <row r="31" spans="2:3" x14ac:dyDescent="0.3">
      <c r="B31" s="2" t="s">
        <v>18</v>
      </c>
      <c r="C31" s="3">
        <v>12000</v>
      </c>
    </row>
    <row r="32" spans="2:3" x14ac:dyDescent="0.3">
      <c r="B32" s="2" t="s">
        <v>24</v>
      </c>
      <c r="C32" s="3">
        <v>94800</v>
      </c>
    </row>
  </sheetData>
  <pageMargins left="0.75" right="0.75" top="1" bottom="1" header="0.5" footer="0.5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C16" sqref="C16"/>
    </sheetView>
  </sheetViews>
  <sheetFormatPr defaultRowHeight="14.4" x14ac:dyDescent="0.3"/>
  <cols>
    <col min="2" max="2" width="12.5546875" bestFit="1" customWidth="1"/>
    <col min="3" max="3" width="16.44140625" bestFit="1" customWidth="1"/>
  </cols>
  <sheetData>
    <row r="1" spans="1:3" x14ac:dyDescent="0.3">
      <c r="A1" t="s">
        <v>0</v>
      </c>
      <c r="B1" t="s">
        <v>19</v>
      </c>
    </row>
    <row r="2" spans="1:3" x14ac:dyDescent="0.3">
      <c r="A2" t="s">
        <v>5</v>
      </c>
      <c r="B2">
        <f>SUMIF(Pivot_Data!A:A,"Laptop",Pivot_Data!E:E)</f>
        <v>80000</v>
      </c>
    </row>
    <row r="3" spans="1:3" x14ac:dyDescent="0.3">
      <c r="A3" t="s">
        <v>11</v>
      </c>
      <c r="B3">
        <f>SUMIF(Pivot_Data!A:A,"Mouse",Pivot_Data!E:E)</f>
        <v>1300</v>
      </c>
    </row>
    <row r="4" spans="1:3" x14ac:dyDescent="0.3">
      <c r="A4" t="s">
        <v>15</v>
      </c>
      <c r="B4">
        <f>SUMIF(Pivot_Data!A:A,"Keyboard",Pivot_Data!E:E)</f>
        <v>1500</v>
      </c>
    </row>
    <row r="5" spans="1:3" x14ac:dyDescent="0.3">
      <c r="A5" t="s">
        <v>17</v>
      </c>
      <c r="B5">
        <f>SUMIF(Pivot_Data!A:A,"Monitor",Pivot_Data!E:E)</f>
        <v>12000</v>
      </c>
    </row>
    <row r="8" spans="1:3" x14ac:dyDescent="0.3">
      <c r="B8" s="1" t="s">
        <v>23</v>
      </c>
      <c r="C8" t="s">
        <v>27</v>
      </c>
    </row>
    <row r="9" spans="1:3" x14ac:dyDescent="0.3">
      <c r="B9" s="2" t="s">
        <v>15</v>
      </c>
      <c r="C9" s="3">
        <v>1500</v>
      </c>
    </row>
    <row r="10" spans="1:3" x14ac:dyDescent="0.3">
      <c r="B10" s="2" t="s">
        <v>5</v>
      </c>
      <c r="C10" s="3">
        <v>80000</v>
      </c>
    </row>
    <row r="11" spans="1:3" x14ac:dyDescent="0.3">
      <c r="B11" s="2" t="s">
        <v>17</v>
      </c>
      <c r="C11" s="3">
        <v>12000</v>
      </c>
    </row>
    <row r="12" spans="1:3" x14ac:dyDescent="0.3">
      <c r="B12" s="2" t="s">
        <v>11</v>
      </c>
      <c r="C12" s="3">
        <v>1300</v>
      </c>
    </row>
    <row r="13" spans="1:3" x14ac:dyDescent="0.3">
      <c r="B13" s="2" t="s">
        <v>24</v>
      </c>
      <c r="C13" s="3">
        <v>94800</v>
      </c>
    </row>
  </sheetData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C15" sqref="C15"/>
    </sheetView>
  </sheetViews>
  <sheetFormatPr defaultRowHeight="14.4" x14ac:dyDescent="0.3"/>
  <cols>
    <col min="2" max="2" width="12.5546875" bestFit="1" customWidth="1"/>
    <col min="3" max="3" width="11.6640625" bestFit="1" customWidth="1"/>
  </cols>
  <sheetData>
    <row r="1" spans="1:3" x14ac:dyDescent="0.3">
      <c r="A1" t="s">
        <v>0</v>
      </c>
      <c r="B1" t="s">
        <v>4</v>
      </c>
    </row>
    <row r="2" spans="1:3" x14ac:dyDescent="0.3">
      <c r="A2" t="s">
        <v>5</v>
      </c>
      <c r="B2">
        <v>20000</v>
      </c>
    </row>
    <row r="3" spans="1:3" x14ac:dyDescent="0.3">
      <c r="A3" t="s">
        <v>11</v>
      </c>
      <c r="B3">
        <v>500</v>
      </c>
    </row>
    <row r="5" spans="1:3" x14ac:dyDescent="0.3">
      <c r="B5" s="1" t="s">
        <v>23</v>
      </c>
      <c r="C5" t="s">
        <v>25</v>
      </c>
    </row>
    <row r="6" spans="1:3" x14ac:dyDescent="0.3">
      <c r="B6" s="2" t="s">
        <v>5</v>
      </c>
      <c r="C6" s="3">
        <v>20000</v>
      </c>
    </row>
    <row r="7" spans="1:3" x14ac:dyDescent="0.3">
      <c r="B7" s="2" t="s">
        <v>11</v>
      </c>
      <c r="C7" s="3">
        <v>500</v>
      </c>
    </row>
    <row r="8" spans="1:3" x14ac:dyDescent="0.3">
      <c r="B8" s="2" t="s">
        <v>24</v>
      </c>
      <c r="C8" s="3">
        <v>20500</v>
      </c>
    </row>
  </sheetData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B5" sqref="B5"/>
    </sheetView>
  </sheetViews>
  <sheetFormatPr defaultRowHeight="14.4" x14ac:dyDescent="0.3"/>
  <cols>
    <col min="2" max="2" width="12.5546875" bestFit="1" customWidth="1"/>
    <col min="3" max="3" width="11.6640625" bestFit="1" customWidth="1"/>
  </cols>
  <sheetData>
    <row r="1" spans="1:3" x14ac:dyDescent="0.3">
      <c r="A1" t="s">
        <v>0</v>
      </c>
      <c r="B1" t="s">
        <v>4</v>
      </c>
    </row>
    <row r="2" spans="1:3" x14ac:dyDescent="0.3">
      <c r="A2" t="s">
        <v>5</v>
      </c>
      <c r="B2">
        <v>30000</v>
      </c>
    </row>
    <row r="3" spans="1:3" x14ac:dyDescent="0.3">
      <c r="A3" t="s">
        <v>11</v>
      </c>
      <c r="B3">
        <v>800</v>
      </c>
    </row>
    <row r="5" spans="1:3" x14ac:dyDescent="0.3">
      <c r="B5" s="1" t="s">
        <v>23</v>
      </c>
      <c r="C5" t="s">
        <v>25</v>
      </c>
    </row>
    <row r="6" spans="1:3" x14ac:dyDescent="0.3">
      <c r="B6" s="2" t="s">
        <v>5</v>
      </c>
      <c r="C6" s="3">
        <v>30000</v>
      </c>
    </row>
    <row r="7" spans="1:3" x14ac:dyDescent="0.3">
      <c r="B7" s="2" t="s">
        <v>11</v>
      </c>
      <c r="C7" s="3">
        <v>800</v>
      </c>
    </row>
    <row r="8" spans="1:3" x14ac:dyDescent="0.3">
      <c r="B8" s="2" t="s">
        <v>24</v>
      </c>
      <c r="C8" s="3">
        <v>30800</v>
      </c>
    </row>
  </sheetData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tabSelected="1" workbookViewId="0">
      <selection activeCell="N17" sqref="N17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t="s">
        <v>0</v>
      </c>
      <c r="B1" t="s">
        <v>4</v>
      </c>
    </row>
    <row r="2" spans="1:2" x14ac:dyDescent="0.3">
      <c r="A2" t="s">
        <v>5</v>
      </c>
      <c r="B2">
        <v>25000</v>
      </c>
    </row>
    <row r="3" spans="1:2" x14ac:dyDescent="0.3">
      <c r="A3" t="s">
        <v>11</v>
      </c>
      <c r="B3">
        <v>600</v>
      </c>
    </row>
    <row r="4" spans="1:2" x14ac:dyDescent="0.3">
      <c r="A4" s="1" t="s">
        <v>23</v>
      </c>
      <c r="B4" t="s">
        <v>25</v>
      </c>
    </row>
    <row r="5" spans="1:2" x14ac:dyDescent="0.3">
      <c r="A5" s="2" t="s">
        <v>5</v>
      </c>
      <c r="B5" s="3">
        <v>25000</v>
      </c>
    </row>
    <row r="6" spans="1:2" x14ac:dyDescent="0.3">
      <c r="A6" s="2" t="s">
        <v>11</v>
      </c>
      <c r="B6" s="3">
        <v>600</v>
      </c>
    </row>
    <row r="7" spans="1:2" x14ac:dyDescent="0.3">
      <c r="A7" s="2" t="s">
        <v>24</v>
      </c>
      <c r="B7" s="3">
        <v>25600</v>
      </c>
    </row>
  </sheetData>
  <pageMargins left="0.75" right="0.75" top="1" bottom="1" header="0.5" footer="0.5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19</v>
      </c>
    </row>
    <row r="2" spans="1:2" x14ac:dyDescent="0.3">
      <c r="A2" t="s">
        <v>5</v>
      </c>
      <c r="B2">
        <f>Jan!B2+Feb!B2+Mar!B2</f>
        <v>75000</v>
      </c>
    </row>
    <row r="3" spans="1:2" x14ac:dyDescent="0.3">
      <c r="A3" t="s">
        <v>11</v>
      </c>
      <c r="B3">
        <f>Jan!B3+Feb!B3+Mar!B3</f>
        <v>1900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4</v>
      </c>
      <c r="C1" t="s">
        <v>20</v>
      </c>
    </row>
    <row r="2" spans="1:3" x14ac:dyDescent="0.3">
      <c r="A2" t="s">
        <v>21</v>
      </c>
      <c r="B2">
        <v>100</v>
      </c>
      <c r="C2">
        <f>SUBTOTAL(9,B2:B5)</f>
        <v>1000</v>
      </c>
    </row>
    <row r="3" spans="1:3" x14ac:dyDescent="0.3">
      <c r="A3" t="s">
        <v>21</v>
      </c>
      <c r="B3">
        <v>200</v>
      </c>
    </row>
    <row r="4" spans="1:3" x14ac:dyDescent="0.3">
      <c r="A4" t="s">
        <v>22</v>
      </c>
      <c r="B4">
        <v>300</v>
      </c>
    </row>
    <row r="5" spans="1:3" x14ac:dyDescent="0.3">
      <c r="A5" t="s">
        <v>22</v>
      </c>
      <c r="B5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Pivot_Data</vt:lpstr>
      <vt:lpstr>Pivot_Result</vt:lpstr>
      <vt:lpstr>Jan</vt:lpstr>
      <vt:lpstr>Feb</vt:lpstr>
      <vt:lpstr>Mar</vt:lpstr>
      <vt:lpstr>Consolidation</vt:lpstr>
      <vt:lpstr>Subtotal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pushkar kumar</cp:lastModifiedBy>
  <dcterms:created xsi:type="dcterms:W3CDTF">2026-04-05T13:44:14Z</dcterms:created>
  <dcterms:modified xsi:type="dcterms:W3CDTF">2026-04-05T13:52:24Z</dcterms:modified>
</cp:coreProperties>
</file>