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aYUSH\"/>
    </mc:Choice>
  </mc:AlternateContent>
  <xr:revisionPtr revIDLastSave="0" documentId="8_{B817105D-8ACE-4005-98C7-01549A1E9869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Logical" sheetId="1" r:id="rId1"/>
    <sheet name="Cleaning" sheetId="2" r:id="rId2"/>
    <sheet name="Search_Find" sheetId="3" r:id="rId3"/>
    <sheet name="Concat" sheetId="4" r:id="rId4"/>
    <sheet name="Lookup" sheetId="5" r:id="rId5"/>
    <sheet name="Aggregation" sheetId="6" r:id="rId6"/>
    <sheet name="Sheet1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E4" i="5"/>
  <c r="E3" i="5"/>
  <c r="E2" i="6" l="1"/>
  <c r="D2" i="6"/>
  <c r="C2" i="6"/>
  <c r="E2" i="5"/>
  <c r="D2" i="4"/>
  <c r="C2" i="4"/>
  <c r="D2" i="3"/>
  <c r="C2" i="3"/>
  <c r="B2" i="3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<sst xmlns="http://schemas.openxmlformats.org/spreadsheetml/2006/main" count="47" uniqueCount="42">
  <si>
    <t>Sales</t>
  </si>
  <si>
    <t>Category(IF)</t>
  </si>
  <si>
    <t>AND Test</t>
  </si>
  <si>
    <t>OR Test</t>
  </si>
  <si>
    <t>IF+AND</t>
  </si>
  <si>
    <t>IFERROR</t>
  </si>
  <si>
    <t>Raw Text</t>
  </si>
  <si>
    <t>TRIM</t>
  </si>
  <si>
    <t>UPPER</t>
  </si>
  <si>
    <t>LOWER</t>
  </si>
  <si>
    <t>PROPER</t>
  </si>
  <si>
    <t>LEN</t>
  </si>
  <si>
    <t xml:space="preserve">  ayush kumar  </t>
  </si>
  <si>
    <t>RAHUL</t>
  </si>
  <si>
    <t>rohan kumar</t>
  </si>
  <si>
    <t>Text</t>
  </si>
  <si>
    <t>SEARCH 'kumar'</t>
  </si>
  <si>
    <t>FIND 'kumar'</t>
  </si>
  <si>
    <t>MID Extract</t>
  </si>
  <si>
    <t>ayush kumar</t>
  </si>
  <si>
    <t>First</t>
  </si>
  <si>
    <t>Last</t>
  </si>
  <si>
    <t>CONCAT</t>
  </si>
  <si>
    <t>&amp; Operator</t>
  </si>
  <si>
    <t>Ayush</t>
  </si>
  <si>
    <t>Jha</t>
  </si>
  <si>
    <t>ID</t>
  </si>
  <si>
    <t>Name</t>
  </si>
  <si>
    <t>Price</t>
  </si>
  <si>
    <t>Lookup Price</t>
  </si>
  <si>
    <t>Pen</t>
  </si>
  <si>
    <t>Book</t>
  </si>
  <si>
    <t>Bag</t>
  </si>
  <si>
    <t>Product</t>
  </si>
  <si>
    <t>SUMIF A</t>
  </si>
  <si>
    <t>COUNTIF &gt;200</t>
  </si>
  <si>
    <t>AVERAGEIF A</t>
  </si>
  <si>
    <t>A</t>
  </si>
  <si>
    <t>B</t>
  </si>
  <si>
    <t>hlookup</t>
  </si>
  <si>
    <t>v lookup use for vertical data and h lookup use for horizontal data</t>
  </si>
  <si>
    <t>false - exact match while true use for rnage/ approx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</si>
</sst>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2" sqref="B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8000</v>
      </c>
      <c r="B2" t="str">
        <f>IF(A2&gt;20000,"High","Low")</f>
        <v>Low</v>
      </c>
      <c r="C2" t="b">
        <f>AND(A2&gt;10000,A2&lt;25000)</f>
        <v>0</v>
      </c>
      <c r="D2" t="b">
        <f>OR(A2&lt;10000,A2&gt;25000)</f>
        <v>1</v>
      </c>
      <c r="E2" t="str">
        <f>IF(AND(A2&gt;10000,A2&lt;25000),"Mid","Other")</f>
        <v>Other</v>
      </c>
      <c r="F2" t="str">
        <f>IFERROR(A2/0,"Handled")</f>
        <v>Handled</v>
      </c>
    </row>
    <row r="3" spans="1:6" x14ac:dyDescent="0.3">
      <c r="A3">
        <v>15000</v>
      </c>
      <c r="B3" t="str">
        <f>IF(A3&gt;20000,"High","Low")</f>
        <v>Low</v>
      </c>
      <c r="C3" t="b">
        <f>AND(A3&gt;10000,A3&lt;25000)</f>
        <v>1</v>
      </c>
      <c r="D3" t="b">
        <f>OR(A3&lt;10000,A3&gt;25000)</f>
        <v>0</v>
      </c>
      <c r="E3" t="str">
        <f>IF(AND(A3&gt;10000,A3&lt;25000),"Mid","Other")</f>
        <v>Mid</v>
      </c>
      <c r="F3" t="str">
        <f>IFERROR(A3/0,"Handled")</f>
        <v>Handled</v>
      </c>
    </row>
    <row r="4" spans="1:6" x14ac:dyDescent="0.3">
      <c r="A4">
        <v>22000</v>
      </c>
      <c r="B4" t="str">
        <f>IF(A4&gt;20000,"High","Low")</f>
        <v>High</v>
      </c>
      <c r="C4" t="b">
        <f>AND(A4&gt;10000,A4&lt;25000)</f>
        <v>1</v>
      </c>
      <c r="D4" t="b">
        <f>OR(A4&lt;10000,A4&gt;25000)</f>
        <v>0</v>
      </c>
      <c r="E4" t="str">
        <f>IF(AND(A4&gt;10000,A4&lt;25000),"Mid","Other")</f>
        <v>Mid</v>
      </c>
      <c r="F4" t="str">
        <f>IFERROR(A4/0,"Handled")</f>
        <v>Handled</v>
      </c>
    </row>
    <row r="5" spans="1:6" x14ac:dyDescent="0.3">
      <c r="A5">
        <v>30000</v>
      </c>
      <c r="B5" t="str">
        <f>IF(A5&gt;20000,"High","Low")</f>
        <v>High</v>
      </c>
      <c r="C5" t="b">
        <f>AND(A5&gt;10000,A5&lt;25000)</f>
        <v>0</v>
      </c>
      <c r="D5" t="b">
        <f>OR(A5&lt;10000,A5&gt;25000)</f>
        <v>1</v>
      </c>
      <c r="E5" t="str">
        <f>IF(AND(A5&gt;10000,A5&lt;25000),"Mid","Other")</f>
        <v>Other</v>
      </c>
      <c r="F5" t="str">
        <f>IFERROR(A5/0,"Handled")</f>
        <v>Handled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C3" sqref="C3"/>
    </sheetView>
  </sheetViews>
  <sheetFormatPr defaultRowHeight="14.4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 t="str">
        <f>TRIM(A2)</f>
        <v>ayush kumar</v>
      </c>
      <c r="C2" t="str">
        <f>UPPER(A2)</f>
        <v xml:space="preserve">  AYUSH KUMAR  </v>
      </c>
      <c r="D2" t="str">
        <f>LOWER(A2)</f>
        <v xml:space="preserve">  ayush kumar  </v>
      </c>
      <c r="E2" t="str">
        <f>PROPER(A2)</f>
        <v xml:space="preserve">  Ayush Kumar  </v>
      </c>
      <c r="F2">
        <f>LEN(A2)</f>
        <v>15</v>
      </c>
    </row>
    <row r="3" spans="1:6" x14ac:dyDescent="0.3">
      <c r="A3" t="s">
        <v>13</v>
      </c>
      <c r="B3" t="str">
        <f>TRIM(A3)</f>
        <v>RAHUL</v>
      </c>
      <c r="C3" t="str">
        <f>UPPER(A3)</f>
        <v>RAHUL</v>
      </c>
      <c r="D3" t="str">
        <f>LOWER(A3)</f>
        <v>rahul</v>
      </c>
      <c r="E3" t="str">
        <f>PROPER(A3)</f>
        <v>Rahul</v>
      </c>
      <c r="F3">
        <f>LEN(A3)</f>
        <v>5</v>
      </c>
    </row>
    <row r="4" spans="1:6" x14ac:dyDescent="0.3">
      <c r="A4" t="s">
        <v>14</v>
      </c>
      <c r="B4" t="str">
        <f>TRIM(A4)</f>
        <v>rohan kumar</v>
      </c>
      <c r="C4" t="str">
        <f>UPPER(A4)</f>
        <v>ROHAN KUMAR</v>
      </c>
      <c r="D4" t="str">
        <f>LOWER(A4)</f>
        <v>rohan kumar</v>
      </c>
      <c r="E4" t="str">
        <f>PROPER(A4)</f>
        <v>Rohan Kumar</v>
      </c>
      <c r="F4">
        <f>LEN(A4)</f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4" x14ac:dyDescent="0.3"/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>
        <f>SEARCH("kumar",A2)</f>
        <v>7</v>
      </c>
      <c r="C2">
        <f>FIND("kumar",A2)</f>
        <v>7</v>
      </c>
      <c r="D2" t="str">
        <f>MID(A2,SEARCH("kumar",A2),5)</f>
        <v>kumar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selection activeCell="B3" sqref="B3"/>
    </sheetView>
  </sheetViews>
  <sheetFormatPr defaultRowHeight="14.4" x14ac:dyDescent="0.3"/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 t="s">
        <v>24</v>
      </c>
      <c r="B2" t="s">
        <v>25</v>
      </c>
      <c r="C2" t="str">
        <f>CONCATENATE(A2," ",B2)</f>
        <v>Ayush Jha</v>
      </c>
      <c r="D2" t="str">
        <f>A2&amp;" "&amp;B2</f>
        <v>Ayush Jha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I19" sqref="I19"/>
    </sheetView>
  </sheetViews>
  <sheetFormatPr defaultRowHeight="14.4" x14ac:dyDescent="0.3"/>
  <sheetData>
    <row r="1" spans="1:5" x14ac:dyDescent="0.3">
      <c r="A1" t="s">
        <v>26</v>
      </c>
      <c r="B1" t="s">
        <v>27</v>
      </c>
      <c r="C1" t="s">
        <v>28</v>
      </c>
      <c r="E1" t="s">
        <v>29</v>
      </c>
    </row>
    <row r="2" spans="1:5" x14ac:dyDescent="0.3">
      <c r="A2">
        <v>101</v>
      </c>
      <c r="B2" t="s">
        <v>30</v>
      </c>
      <c r="C2">
        <v>10</v>
      </c>
      <c r="E2">
        <f>VLOOKUP(102,A2:C4,3,FALSE)</f>
        <v>50</v>
      </c>
    </row>
    <row r="3" spans="1:5" x14ac:dyDescent="0.3">
      <c r="A3">
        <v>102</v>
      </c>
      <c r="B3" t="s">
        <v>31</v>
      </c>
      <c r="C3">
        <v>50</v>
      </c>
      <c r="E3" t="str">
        <f>IFERROR(VLOOKUP(105,A2:A2:C4,3,FALSE),"not Found")</f>
        <v>not Found</v>
      </c>
    </row>
    <row r="4" spans="1:5" x14ac:dyDescent="0.3">
      <c r="A4">
        <v>103</v>
      </c>
      <c r="B4" t="s">
        <v>32</v>
      </c>
      <c r="C4">
        <v>500</v>
      </c>
      <c r="E4">
        <f>VLOOKUP(102,A2:D4,3,FALSE)</f>
        <v>50</v>
      </c>
    </row>
    <row r="6" spans="1:5" x14ac:dyDescent="0.3">
      <c r="A6" t="s">
        <v>26</v>
      </c>
      <c r="B6">
        <v>101</v>
      </c>
      <c r="C6">
        <v>102</v>
      </c>
      <c r="D6">
        <v>103</v>
      </c>
    </row>
    <row r="7" spans="1:5" x14ac:dyDescent="0.3">
      <c r="A7" t="s">
        <v>28</v>
      </c>
      <c r="B7">
        <v>10</v>
      </c>
      <c r="C7">
        <v>50</v>
      </c>
      <c r="D7">
        <v>500</v>
      </c>
    </row>
    <row r="8" spans="1:5" x14ac:dyDescent="0.3">
      <c r="C8" t="s">
        <v>39</v>
      </c>
      <c r="D8">
        <f>HLOOKUP(101,B6:C7,2,FALSE)</f>
        <v>10</v>
      </c>
    </row>
    <row r="10" spans="1:5" x14ac:dyDescent="0.3">
      <c r="C10" t="s">
        <v>40</v>
      </c>
    </row>
    <row r="11" spans="1:5" x14ac:dyDescent="0.3">
      <c r="C11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E2" sqref="E2"/>
    </sheetView>
  </sheetViews>
  <sheetFormatPr defaultRowHeight="14.4" x14ac:dyDescent="0.3"/>
  <sheetData>
    <row r="1" spans="1:5" x14ac:dyDescent="0.3">
      <c r="A1" t="s">
        <v>33</v>
      </c>
      <c r="B1" t="s">
        <v>0</v>
      </c>
      <c r="C1" t="s">
        <v>34</v>
      </c>
      <c r="D1" t="s">
        <v>35</v>
      </c>
      <c r="E1" t="s">
        <v>36</v>
      </c>
    </row>
    <row r="2" spans="1:5" x14ac:dyDescent="0.3">
      <c r="A2" t="s">
        <v>37</v>
      </c>
      <c r="B2">
        <v>100</v>
      </c>
      <c r="C2">
        <f>SUMIF(A2:A5,"A",B2:B5)</f>
        <v>700</v>
      </c>
      <c r="D2">
        <f>COUNTIF(B2:B5,"&gt;200")</f>
        <v>2</v>
      </c>
      <c r="E2">
        <f>AVERAGEIF(A2:A5,"A",B2:B5)</f>
        <v>233.33333333333334</v>
      </c>
    </row>
    <row r="3" spans="1:5" x14ac:dyDescent="0.3">
      <c r="A3" t="s">
        <v>37</v>
      </c>
      <c r="B3">
        <v>200</v>
      </c>
    </row>
    <row r="4" spans="1:5" x14ac:dyDescent="0.3">
      <c r="A4" t="s">
        <v>38</v>
      </c>
      <c r="B4">
        <v>300</v>
      </c>
    </row>
    <row r="5" spans="1:5" x14ac:dyDescent="0.3">
      <c r="A5" t="s">
        <v>37</v>
      </c>
      <c r="B5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8F92-2CD1-4BED-803C-9D9A10DC02A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Logical</vt:lpstr>
      <vt:lpstr>Cleaning</vt:lpstr>
      <vt:lpstr>Search_Find</vt:lpstr>
      <vt:lpstr>Concat</vt:lpstr>
      <vt:lpstr>Lookup</vt:lpstr>
      <vt:lpstr>Aggregation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 kumar</cp:lastModifiedBy>
  <dcterms:created xsi:type="dcterms:W3CDTF">2026-04-02T17:51:02Z</dcterms:created>
  <dcterms:modified xsi:type="dcterms:W3CDTF">2026-04-05T13:52:03Z</dcterms:modified>
</cp:coreProperties>
</file>