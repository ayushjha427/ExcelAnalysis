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aYUSH\"/>
    </mc:Choice>
  </mc:AlternateContent>
  <xr:revisionPtr revIDLastSave="0" documentId="13_ncr:1_{32824062-0016-4043-8A68-80782A3C90F0}" xr6:coauthVersionLast="47" xr6:coauthVersionMax="47" xr10:uidLastSave="{00000000-0000-0000-0000-000000000000}"/>
  <bookViews>
    <workbookView xWindow="-108" yWindow="-108" windowWidth="23256" windowHeight="12456" activeTab="2" xr2:uid="{CD19474C-3CD0-4FC5-A53C-5E88866DE0F9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4" l="1"/>
  <c r="D8" i="4"/>
  <c r="D7" i="4"/>
  <c r="D6" i="4"/>
  <c r="D4" i="4"/>
  <c r="D2" i="4"/>
  <c r="I83" i="1" l="1"/>
  <c r="I84" i="1"/>
  <c r="I85" i="1"/>
  <c r="I86" i="1"/>
  <c r="I87" i="1"/>
  <c r="I88" i="1"/>
  <c r="I89" i="1"/>
  <c r="I90" i="1"/>
  <c r="I91" i="1"/>
  <c r="I92" i="1"/>
  <c r="I93" i="1"/>
  <c r="I94" i="1"/>
  <c r="H77" i="1"/>
  <c r="H75" i="1"/>
  <c r="H71" i="1"/>
  <c r="H72" i="1"/>
  <c r="H73" i="1"/>
  <c r="H74" i="1"/>
  <c r="H70" i="1"/>
  <c r="H56" i="1"/>
  <c r="H55" i="1"/>
  <c r="H54" i="1"/>
  <c r="E48" i="1"/>
  <c r="E46" i="1"/>
  <c r="E47" i="1"/>
  <c r="K23" i="1" a="1"/>
  <c r="K23" i="1" s="1"/>
  <c r="F12" i="1" a="1"/>
  <c r="F12" i="1" s="1"/>
  <c r="E8" i="1"/>
  <c r="F7" i="1"/>
  <c r="E7" i="1"/>
  <c r="F6" i="1"/>
  <c r="F5" i="1"/>
  <c r="F4" i="1"/>
  <c r="E6" i="1"/>
  <c r="E5" i="1"/>
  <c r="E4" i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<sst xmlns="http://schemas.openxmlformats.org/spreadsheetml/2006/main" count="122" uniqueCount="85">
  <si>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</si>
  <si>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</si>
  <si>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</si>
  <si>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</si>
  <si>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</si>
  <si>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</si>
  <si>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</si>
  <si>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</si>
  <si>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</si>
  <si>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</si>
  <si>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</si>
  <si>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</si>
  <si>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</si>
  <si>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</si>
  <si>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</si>
  <si>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Highest Sales</t>
  </si>
  <si>
    <t>Lowest Sales</t>
  </si>
  <si>
    <t>2nd Lowest sales</t>
  </si>
  <si>
    <t>3rd highest</t>
  </si>
  <si>
    <t>median</t>
  </si>
  <si>
    <t>Q/a</t>
  </si>
  <si>
    <t xml:space="preserve">Transpose </t>
  </si>
  <si>
    <t xml:space="preserve">Comparision </t>
  </si>
  <si>
    <t>manual transpose is static and have not auto update feature</t>
  </si>
  <si>
    <t>while Transpose is dynamic and have Auto Update Feature</t>
  </si>
  <si>
    <t>Advantage of Transpose</t>
  </si>
  <si>
    <t>Dynamic</t>
  </si>
  <si>
    <t>Time Saving</t>
  </si>
  <si>
    <t>Low Error</t>
  </si>
  <si>
    <t>Dynamic Range</t>
  </si>
  <si>
    <t>Data To Table</t>
  </si>
  <si>
    <t>COUNT FUNCTION</t>
  </si>
  <si>
    <t>PRODUCT</t>
  </si>
  <si>
    <t>A</t>
  </si>
  <si>
    <t>B</t>
  </si>
  <si>
    <t>C</t>
  </si>
  <si>
    <t>D</t>
  </si>
  <si>
    <t>E</t>
  </si>
  <si>
    <t>SALES</t>
  </si>
  <si>
    <t>COUNT</t>
  </si>
  <si>
    <t>COUNTA</t>
  </si>
  <si>
    <t>COUNT BLANK</t>
  </si>
  <si>
    <t>COUNT NUMBERS</t>
  </si>
  <si>
    <t>COUNT NON-BLANK</t>
  </si>
  <si>
    <t>STATUS BAR CALCULATIONS</t>
  </si>
  <si>
    <t>SUM</t>
  </si>
  <si>
    <t>AVG</t>
  </si>
  <si>
    <t>SALES DATA</t>
  </si>
  <si>
    <t>BENNIFIT OF STATUS BAR</t>
  </si>
  <si>
    <t>STATUS BAR PRESENT BOTTOM IN EXCEL SHEET</t>
  </si>
  <si>
    <t>QUICK CALCULATION</t>
  </si>
  <si>
    <t>TIME SAVING</t>
  </si>
  <si>
    <t>INSTANT DATA VERIFICATION</t>
  </si>
  <si>
    <t>USEFUL FOR QUICK ANALYSIS</t>
  </si>
  <si>
    <t>GROWTH+CAGR</t>
  </si>
  <si>
    <t>YEAR</t>
  </si>
  <si>
    <t>REVENUE</t>
  </si>
  <si>
    <t>YOY</t>
  </si>
  <si>
    <t xml:space="preserve">CAGR </t>
  </si>
  <si>
    <t>FORMATTING</t>
  </si>
  <si>
    <t>PERCENTAGE</t>
  </si>
  <si>
    <t>SORTING</t>
  </si>
  <si>
    <t>Date</t>
  </si>
  <si>
    <t>use sort ascending for sorting the date</t>
  </si>
  <si>
    <t>descending for reverse sorting</t>
  </si>
  <si>
    <t>Sort by sales</t>
  </si>
  <si>
    <t xml:space="preserve">used custom sort value </t>
  </si>
  <si>
    <t>Product</t>
  </si>
  <si>
    <t>Laptop</t>
  </si>
  <si>
    <t>Mouse</t>
  </si>
  <si>
    <t>Keyboard</t>
  </si>
  <si>
    <t>Monitor</t>
  </si>
  <si>
    <t>Cpu</t>
  </si>
  <si>
    <t xml:space="preserve">sort based on product text </t>
  </si>
  <si>
    <t>text in decending order</t>
  </si>
  <si>
    <t>and color scale for highe and low sales red present low and green present high</t>
  </si>
  <si>
    <t xml:space="preserve">Answer: -increase visual clearity, highliting important data, quick decision making, Trends easily visible </t>
  </si>
  <si>
    <t>Start Date</t>
  </si>
  <si>
    <t>End Date</t>
  </si>
  <si>
    <t>Date fn-</t>
  </si>
  <si>
    <t>year</t>
  </si>
  <si>
    <t>month</t>
  </si>
  <si>
    <t>day</t>
  </si>
  <si>
    <t>combine</t>
  </si>
  <si>
    <t xml:space="preserve">Date fucntion help in automating time - based calculations, improve accuracy , and are useful in reporting , forecasting and tracking deadlines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</si>
</sst>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dd\-mm\-yyyy\ hh:m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/>
    <xf numFmtId="0" fontId="4" fillId="2" borderId="0" xfId="0" applyFont="1" applyFill="1" applyAlignment="1">
      <alignment horizontal="center"/>
    </xf>
    <xf numFmtId="0" fontId="0" fillId="3" borderId="0" xfId="0" applyFill="1" applyAlignment="1">
      <alignment wrapText="1"/>
    </xf>
    <xf numFmtId="0" fontId="6" fillId="0" borderId="1" xfId="0" applyFont="1" applyBorder="1"/>
    <xf numFmtId="0" fontId="5" fillId="0" borderId="1" xfId="0" applyFont="1" applyBorder="1"/>
    <xf numFmtId="8" fontId="0" fillId="0" borderId="1" xfId="0" applyNumberFormat="1" applyBorder="1"/>
    <xf numFmtId="0" fontId="5" fillId="2" borderId="0" xfId="0" applyFont="1" applyFill="1"/>
    <xf numFmtId="9" fontId="1" fillId="0" borderId="0" xfId="0" applyNumberFormat="1" applyFont="1"/>
    <xf numFmtId="15" fontId="0" fillId="0" borderId="0" xfId="0" applyNumberFormat="1"/>
    <xf numFmtId="0" fontId="0" fillId="0" borderId="0" xfId="0" applyAlignment="1">
      <alignment horizontal="center" wrapText="1"/>
    </xf>
    <xf numFmtId="38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1F3419-1A31-47F4-B5DF-63A381C31D25}" name="Table2" displayName="Table2" ref="G23:H35" totalsRowShown="0">
  <autoFilter ref="G23:H35" xr:uid="{6B1F3419-1A31-47F4-B5DF-63A381C31D25}"/>
  <tableColumns count="2">
    <tableColumn id="1" xr3:uid="{11A2BE6A-91E9-40F4-8364-7DFEB637ADE8}" name="Month"/>
    <tableColumn id="2" xr3:uid="{AD8C1EEC-A072-4662-894C-C677BDFAE02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75BB-DDB7-4529-B6BC-930854848C02}">
  <dimension ref="A1:W94"/>
  <sheetViews>
    <sheetView workbookViewId="0">
      <selection activeCell="K88" sqref="K88"/>
    </sheetView>
  </sheetViews>
  <sheetFormatPr defaultRowHeight="14.4" x14ac:dyDescent="0.3"/>
  <cols>
    <col min="4" max="4" width="18.88671875" customWidth="1"/>
    <col min="7" max="7" width="15.33203125" customWidth="1"/>
    <col min="8" max="8" width="10.44140625" customWidth="1"/>
    <col min="9" max="9" width="16.21875" customWidth="1"/>
    <col min="10" max="16" width="10.44140625" customWidth="1"/>
    <col min="17" max="19" width="11.44140625" customWidth="1"/>
  </cols>
  <sheetData>
    <row r="1" spans="1:17" x14ac:dyDescent="0.3">
      <c r="A1" t="s">
        <v>0</v>
      </c>
      <c r="B1" t="s">
        <v>1</v>
      </c>
    </row>
    <row r="2" spans="1:17" x14ac:dyDescent="0.3">
      <c r="A2" t="s">
        <v>2</v>
      </c>
      <c r="B2">
        <v>12000</v>
      </c>
      <c r="C2" t="s">
        <v>20</v>
      </c>
      <c r="F2" t="s">
        <v>0</v>
      </c>
    </row>
    <row r="3" spans="1:17" x14ac:dyDescent="0.3">
      <c r="A3" t="s">
        <v>3</v>
      </c>
      <c r="B3">
        <v>15000</v>
      </c>
      <c r="C3">
        <v>1</v>
      </c>
      <c r="D3" t="s">
        <v>14</v>
      </c>
      <c r="E3">
        <f>SUM(B2:B13)</f>
        <v>248500</v>
      </c>
    </row>
    <row r="4" spans="1:17" x14ac:dyDescent="0.3">
      <c r="A4" t="s">
        <v>4</v>
      </c>
      <c r="B4">
        <v>11000</v>
      </c>
      <c r="C4">
        <v>2</v>
      </c>
      <c r="D4" t="s">
        <v>15</v>
      </c>
      <c r="E4">
        <f>MAX(B2:B13)</f>
        <v>33000</v>
      </c>
      <c r="F4" t="str">
        <f>INDEX(A2:A13,MATCH(MAX(B2:B13),B2:B13,0))</f>
        <v>Dec</v>
      </c>
    </row>
    <row r="5" spans="1:17" x14ac:dyDescent="0.3">
      <c r="A5" t="s">
        <v>5</v>
      </c>
      <c r="B5">
        <v>18000</v>
      </c>
      <c r="C5">
        <v>3</v>
      </c>
      <c r="D5" t="s">
        <v>16</v>
      </c>
      <c r="E5">
        <f>MIN(B2:B13)</f>
        <v>9000</v>
      </c>
      <c r="F5" t="str">
        <f>INDEX(A2:A13,MATCH(MIN(B2:B13),B2:B13,0))</f>
        <v>May</v>
      </c>
    </row>
    <row r="6" spans="1:17" x14ac:dyDescent="0.3">
      <c r="A6" t="s">
        <v>6</v>
      </c>
      <c r="B6">
        <v>9000</v>
      </c>
      <c r="C6">
        <v>4</v>
      </c>
      <c r="D6" t="s">
        <v>17</v>
      </c>
      <c r="E6">
        <f>SMALL(B2:B13,2)</f>
        <v>11000</v>
      </c>
      <c r="F6" t="str">
        <f>INDEX(A2:A13,MATCH(SMALL(B2:B13,2),B2:B13,0))</f>
        <v>Mar</v>
      </c>
    </row>
    <row r="7" spans="1:17" x14ac:dyDescent="0.3">
      <c r="A7" t="s">
        <v>7</v>
      </c>
      <c r="B7">
        <v>18000</v>
      </c>
      <c r="C7">
        <v>5</v>
      </c>
      <c r="D7" t="s">
        <v>18</v>
      </c>
      <c r="E7">
        <f>LARGE(B2:B13,3)</f>
        <v>29000</v>
      </c>
      <c r="F7" t="str">
        <f>INDEX(A2:A13,MATCH(LARGE(B2:B13,3),B2:B13,0))</f>
        <v>Oct</v>
      </c>
    </row>
    <row r="8" spans="1:17" x14ac:dyDescent="0.3">
      <c r="A8" t="s">
        <v>8</v>
      </c>
      <c r="B8">
        <v>25000</v>
      </c>
      <c r="C8">
        <v>6</v>
      </c>
      <c r="D8" t="s">
        <v>19</v>
      </c>
      <c r="E8">
        <f>MEDIAN(B2:B13)</f>
        <v>20000</v>
      </c>
    </row>
    <row r="9" spans="1:17" x14ac:dyDescent="0.3">
      <c r="A9" t="s">
        <v>9</v>
      </c>
      <c r="B9">
        <v>22000</v>
      </c>
    </row>
    <row r="10" spans="1:17" x14ac:dyDescent="0.3">
      <c r="A10" t="s">
        <v>10</v>
      </c>
      <c r="B10">
        <v>27000</v>
      </c>
    </row>
    <row r="11" spans="1:17" x14ac:dyDescent="0.3">
      <c r="A11" t="s">
        <v>11</v>
      </c>
      <c r="B11">
        <v>29000</v>
      </c>
      <c r="E11">
        <v>2</v>
      </c>
      <c r="F11" s="2" t="s">
        <v>21</v>
      </c>
      <c r="G11" s="2"/>
    </row>
    <row r="12" spans="1:17" x14ac:dyDescent="0.3">
      <c r="A12" t="s">
        <v>12</v>
      </c>
      <c r="B12">
        <v>29500</v>
      </c>
      <c r="F12" t="str" cm="1">
        <f t="array" ref="F12:Q13">TRANSPOSE(A2:B13)</f>
        <v>Jan</v>
      </c>
      <c r="G12" t="str">
        <v>Feb</v>
      </c>
      <c r="H12" t="str">
        <v>Mar</v>
      </c>
      <c r="I12" t="str">
        <v>Apr</v>
      </c>
      <c r="J12" t="str">
        <v>May</v>
      </c>
      <c r="K12" t="str">
        <v>Jun</v>
      </c>
      <c r="L12" t="str">
        <v>Jul</v>
      </c>
      <c r="M12" t="str">
        <v>Aug</v>
      </c>
      <c r="N12" t="str">
        <v>Sep</v>
      </c>
      <c r="O12" t="str">
        <v>Oct</v>
      </c>
      <c r="P12" t="str">
        <v>Nov</v>
      </c>
      <c r="Q12" t="str">
        <v>Dec</v>
      </c>
    </row>
    <row r="13" spans="1:17" x14ac:dyDescent="0.3">
      <c r="A13" t="s">
        <v>13</v>
      </c>
      <c r="B13">
        <v>33000</v>
      </c>
      <c r="F13">
        <v>12000</v>
      </c>
      <c r="G13">
        <v>15000</v>
      </c>
      <c r="H13">
        <v>11000</v>
      </c>
      <c r="I13">
        <v>18000</v>
      </c>
      <c r="J13">
        <v>9000</v>
      </c>
      <c r="K13">
        <v>18000</v>
      </c>
      <c r="L13">
        <v>25000</v>
      </c>
      <c r="M13">
        <v>22000</v>
      </c>
      <c r="N13">
        <v>27000</v>
      </c>
      <c r="O13">
        <v>29000</v>
      </c>
      <c r="P13">
        <v>29500</v>
      </c>
      <c r="Q13">
        <v>33000</v>
      </c>
    </row>
    <row r="15" spans="1:17" x14ac:dyDescent="0.3">
      <c r="F15">
        <v>3</v>
      </c>
      <c r="G15" s="2" t="s">
        <v>22</v>
      </c>
      <c r="H15" s="2"/>
    </row>
    <row r="16" spans="1:17" ht="115.2" x14ac:dyDescent="0.3">
      <c r="G16" s="3" t="s">
        <v>23</v>
      </c>
      <c r="H16" s="3" t="s">
        <v>24</v>
      </c>
    </row>
    <row r="17" spans="5:23" x14ac:dyDescent="0.3">
      <c r="E17">
        <v>4</v>
      </c>
      <c r="F17" s="2" t="s">
        <v>25</v>
      </c>
      <c r="G17" s="2"/>
      <c r="H17" s="2"/>
    </row>
    <row r="18" spans="5:23" x14ac:dyDescent="0.3">
      <c r="G18" t="s">
        <v>26</v>
      </c>
    </row>
    <row r="19" spans="5:23" x14ac:dyDescent="0.3">
      <c r="G19" t="s">
        <v>27</v>
      </c>
    </row>
    <row r="20" spans="5:23" x14ac:dyDescent="0.3">
      <c r="G20" t="s">
        <v>28</v>
      </c>
    </row>
    <row r="22" spans="5:23" x14ac:dyDescent="0.3">
      <c r="F22">
        <v>5</v>
      </c>
      <c r="G22" s="1" t="s">
        <v>30</v>
      </c>
      <c r="J22">
        <v>6</v>
      </c>
      <c r="K22" s="2" t="s">
        <v>29</v>
      </c>
      <c r="L22" s="2"/>
    </row>
    <row r="23" spans="5:23" x14ac:dyDescent="0.3">
      <c r="G23" t="s">
        <v>0</v>
      </c>
      <c r="H23" t="s">
        <v>1</v>
      </c>
      <c r="K23" t="str" cm="1">
        <f t="array" ref="K23:W24">TRANSPOSE(Table2[#All])</f>
        <v>Month</v>
      </c>
      <c r="L23" t="str">
        <v>Jan</v>
      </c>
      <c r="M23" t="str">
        <v>Feb</v>
      </c>
      <c r="N23" t="str">
        <v>Mar</v>
      </c>
      <c r="O23" t="str">
        <v>Apr</v>
      </c>
      <c r="P23" t="str">
        <v>May</v>
      </c>
      <c r="Q23" t="str">
        <v>Jun</v>
      </c>
      <c r="R23" t="str">
        <v>Jul</v>
      </c>
      <c r="S23" t="str">
        <v>Aug</v>
      </c>
      <c r="T23" t="str">
        <v>Sep</v>
      </c>
      <c r="U23" t="str">
        <v>Oct</v>
      </c>
      <c r="V23" t="str">
        <v>Nov</v>
      </c>
      <c r="W23" t="str">
        <v>Dec</v>
      </c>
    </row>
    <row r="24" spans="5:23" x14ac:dyDescent="0.3">
      <c r="G24" t="s">
        <v>2</v>
      </c>
      <c r="H24">
        <v>12000</v>
      </c>
      <c r="K24" t="str">
        <v>Sales</v>
      </c>
      <c r="L24">
        <v>12000</v>
      </c>
      <c r="M24">
        <v>15000</v>
      </c>
      <c r="N24">
        <v>11000</v>
      </c>
      <c r="O24">
        <v>18000</v>
      </c>
      <c r="P24">
        <v>9000</v>
      </c>
      <c r="Q24">
        <v>18000</v>
      </c>
      <c r="R24">
        <v>25000</v>
      </c>
      <c r="S24">
        <v>22000</v>
      </c>
      <c r="T24">
        <v>27000</v>
      </c>
      <c r="U24">
        <v>29000</v>
      </c>
      <c r="V24">
        <v>29500</v>
      </c>
      <c r="W24">
        <v>33000</v>
      </c>
    </row>
    <row r="25" spans="5:23" x14ac:dyDescent="0.3">
      <c r="G25" t="s">
        <v>3</v>
      </c>
      <c r="H25">
        <v>15000</v>
      </c>
    </row>
    <row r="26" spans="5:23" x14ac:dyDescent="0.3">
      <c r="G26" t="s">
        <v>4</v>
      </c>
      <c r="H26">
        <v>11000</v>
      </c>
    </row>
    <row r="27" spans="5:23" x14ac:dyDescent="0.3">
      <c r="G27" t="s">
        <v>5</v>
      </c>
      <c r="H27">
        <v>18000</v>
      </c>
    </row>
    <row r="28" spans="5:23" x14ac:dyDescent="0.3">
      <c r="G28" t="s">
        <v>6</v>
      </c>
      <c r="H28">
        <v>9000</v>
      </c>
    </row>
    <row r="29" spans="5:23" x14ac:dyDescent="0.3">
      <c r="G29" t="s">
        <v>7</v>
      </c>
      <c r="H29">
        <v>18000</v>
      </c>
    </row>
    <row r="30" spans="5:23" x14ac:dyDescent="0.3">
      <c r="G30" t="s">
        <v>8</v>
      </c>
      <c r="H30">
        <v>25000</v>
      </c>
    </row>
    <row r="31" spans="5:23" x14ac:dyDescent="0.3">
      <c r="G31" t="s">
        <v>9</v>
      </c>
      <c r="H31">
        <v>22000</v>
      </c>
    </row>
    <row r="32" spans="5:23" x14ac:dyDescent="0.3">
      <c r="G32" t="s">
        <v>10</v>
      </c>
      <c r="H32">
        <v>27000</v>
      </c>
    </row>
    <row r="33" spans="2:11" x14ac:dyDescent="0.3">
      <c r="G33" t="s">
        <v>11</v>
      </c>
      <c r="H33">
        <v>29000</v>
      </c>
    </row>
    <row r="34" spans="2:11" x14ac:dyDescent="0.3">
      <c r="G34" t="s">
        <v>12</v>
      </c>
      <c r="H34">
        <v>29500</v>
      </c>
    </row>
    <row r="35" spans="2:11" x14ac:dyDescent="0.3">
      <c r="G35" t="s">
        <v>13</v>
      </c>
      <c r="H35">
        <v>33000</v>
      </c>
    </row>
    <row r="37" spans="2:11" x14ac:dyDescent="0.3">
      <c r="B37" s="4" t="s">
        <v>31</v>
      </c>
      <c r="C37" s="4"/>
      <c r="D37" s="4"/>
      <c r="E37" s="4"/>
      <c r="F37" s="4"/>
      <c r="G37" s="4"/>
      <c r="H37" s="4"/>
      <c r="I37" s="4"/>
      <c r="J37" s="4"/>
      <c r="K37" s="4"/>
    </row>
    <row r="38" spans="2:11" x14ac:dyDescent="0.3">
      <c r="B38" s="4"/>
      <c r="C38" s="4"/>
      <c r="D38" s="4"/>
      <c r="E38" s="4"/>
      <c r="F38" s="4"/>
      <c r="G38" s="4"/>
      <c r="H38" s="4"/>
      <c r="I38" s="4"/>
      <c r="J38" s="4"/>
      <c r="K38" s="4"/>
    </row>
    <row r="40" spans="2:11" x14ac:dyDescent="0.3">
      <c r="D40" t="s">
        <v>32</v>
      </c>
      <c r="E40" t="s">
        <v>38</v>
      </c>
    </row>
    <row r="41" spans="2:11" x14ac:dyDescent="0.3">
      <c r="D41" s="6" t="s">
        <v>33</v>
      </c>
      <c r="E41">
        <v>100</v>
      </c>
    </row>
    <row r="42" spans="2:11" x14ac:dyDescent="0.3">
      <c r="D42" t="s">
        <v>34</v>
      </c>
      <c r="E42">
        <v>200</v>
      </c>
    </row>
    <row r="43" spans="2:11" x14ac:dyDescent="0.3">
      <c r="D43" t="s">
        <v>35</v>
      </c>
    </row>
    <row r="44" spans="2:11" x14ac:dyDescent="0.3">
      <c r="D44" t="s">
        <v>36</v>
      </c>
      <c r="E44">
        <v>150</v>
      </c>
    </row>
    <row r="45" spans="2:11" x14ac:dyDescent="0.3">
      <c r="D45" t="s">
        <v>37</v>
      </c>
    </row>
    <row r="46" spans="2:11" x14ac:dyDescent="0.3">
      <c r="D46" t="s">
        <v>39</v>
      </c>
      <c r="E46">
        <f>COUNT(E41:E45)</f>
        <v>3</v>
      </c>
      <c r="F46" t="s">
        <v>42</v>
      </c>
    </row>
    <row r="47" spans="2:11" x14ac:dyDescent="0.3">
      <c r="D47" t="s">
        <v>40</v>
      </c>
      <c r="E47">
        <f>COUNTA(E41:E45)</f>
        <v>3</v>
      </c>
      <c r="F47" t="s">
        <v>43</v>
      </c>
    </row>
    <row r="48" spans="2:11" x14ac:dyDescent="0.3">
      <c r="D48" t="s">
        <v>41</v>
      </c>
      <c r="E48">
        <f>COUNTBLANK(E41:E45)</f>
        <v>2</v>
      </c>
      <c r="F48" t="s">
        <v>41</v>
      </c>
    </row>
    <row r="50" spans="6:12" x14ac:dyDescent="0.3">
      <c r="F50" s="7" t="s">
        <v>44</v>
      </c>
      <c r="G50" s="5"/>
      <c r="H50" s="5"/>
      <c r="I50" s="5"/>
      <c r="J50" s="5"/>
      <c r="K50" s="5"/>
      <c r="L50" s="5"/>
    </row>
    <row r="51" spans="6:12" x14ac:dyDescent="0.3">
      <c r="F51" s="5"/>
      <c r="G51" s="5"/>
      <c r="H51" s="5"/>
      <c r="I51" s="5"/>
      <c r="J51" s="5"/>
      <c r="K51" s="5"/>
      <c r="L51" s="5"/>
    </row>
    <row r="52" spans="6:12" x14ac:dyDescent="0.3">
      <c r="F52" s="5"/>
      <c r="G52" s="5"/>
      <c r="H52" s="5"/>
      <c r="I52" s="5"/>
      <c r="J52" s="5"/>
      <c r="K52" s="5"/>
      <c r="L52" s="5"/>
    </row>
    <row r="53" spans="6:12" x14ac:dyDescent="0.3">
      <c r="G53" t="s">
        <v>47</v>
      </c>
    </row>
    <row r="54" spans="6:12" x14ac:dyDescent="0.3">
      <c r="G54" t="s">
        <v>45</v>
      </c>
      <c r="H54">
        <f>SUM(B2:B13)</f>
        <v>248500</v>
      </c>
    </row>
    <row r="55" spans="6:12" x14ac:dyDescent="0.3">
      <c r="G55" t="s">
        <v>46</v>
      </c>
      <c r="H55">
        <f>AVERAGE(B2:B13)</f>
        <v>20708.333333333332</v>
      </c>
    </row>
    <row r="56" spans="6:12" x14ac:dyDescent="0.3">
      <c r="G56" t="s">
        <v>39</v>
      </c>
      <c r="H56">
        <f>COUNT(B2:B13)</f>
        <v>12</v>
      </c>
    </row>
    <row r="57" spans="6:12" ht="28.8" x14ac:dyDescent="0.3">
      <c r="G57" s="8" t="s">
        <v>48</v>
      </c>
    </row>
    <row r="58" spans="6:12" ht="57.6" x14ac:dyDescent="0.3">
      <c r="G58" s="8" t="s">
        <v>49</v>
      </c>
    </row>
    <row r="59" spans="6:12" x14ac:dyDescent="0.3">
      <c r="F59">
        <v>1</v>
      </c>
      <c r="G59" t="s">
        <v>50</v>
      </c>
    </row>
    <row r="60" spans="6:12" x14ac:dyDescent="0.3">
      <c r="F60">
        <v>2</v>
      </c>
      <c r="G60" t="s">
        <v>51</v>
      </c>
    </row>
    <row r="61" spans="6:12" x14ac:dyDescent="0.3">
      <c r="F61">
        <v>3</v>
      </c>
      <c r="G61" t="s">
        <v>52</v>
      </c>
    </row>
    <row r="62" spans="6:12" x14ac:dyDescent="0.3">
      <c r="F62">
        <v>4</v>
      </c>
      <c r="G62" t="s">
        <v>53</v>
      </c>
    </row>
    <row r="65" spans="4:12" x14ac:dyDescent="0.3">
      <c r="F65" s="7" t="s">
        <v>54</v>
      </c>
      <c r="G65" s="7"/>
      <c r="H65" s="7"/>
      <c r="I65" s="7"/>
      <c r="J65" s="7"/>
    </row>
    <row r="66" spans="4:12" x14ac:dyDescent="0.3">
      <c r="F66" s="7"/>
      <c r="G66" s="7"/>
      <c r="H66" s="7"/>
      <c r="I66" s="7"/>
      <c r="J66" s="7"/>
    </row>
    <row r="67" spans="4:12" x14ac:dyDescent="0.3">
      <c r="F67" s="7"/>
      <c r="G67" s="7"/>
      <c r="H67" s="7"/>
      <c r="I67" s="7"/>
      <c r="J67" s="7"/>
    </row>
    <row r="68" spans="4:12" x14ac:dyDescent="0.3">
      <c r="F68" s="7"/>
      <c r="G68" s="7"/>
      <c r="H68" s="7"/>
      <c r="I68" s="7"/>
      <c r="J68" s="7"/>
    </row>
    <row r="69" spans="4:12" x14ac:dyDescent="0.3">
      <c r="F69" t="s">
        <v>55</v>
      </c>
      <c r="G69" t="s">
        <v>56</v>
      </c>
      <c r="H69" t="s">
        <v>57</v>
      </c>
    </row>
    <row r="70" spans="4:12" x14ac:dyDescent="0.3">
      <c r="F70">
        <v>2020</v>
      </c>
      <c r="G70">
        <v>5000</v>
      </c>
      <c r="H70">
        <f>(G71-G70)/G71</f>
        <v>-0.1111111111111111</v>
      </c>
    </row>
    <row r="71" spans="4:12" x14ac:dyDescent="0.3">
      <c r="F71">
        <v>2021</v>
      </c>
      <c r="G71">
        <v>4500</v>
      </c>
      <c r="H71">
        <f t="shared" ref="H71:H75" si="0">(G72-G71)/G72</f>
        <v>0.25</v>
      </c>
    </row>
    <row r="72" spans="4:12" x14ac:dyDescent="0.3">
      <c r="F72">
        <v>2022</v>
      </c>
      <c r="G72">
        <v>6000</v>
      </c>
      <c r="H72">
        <f t="shared" si="0"/>
        <v>0.2</v>
      </c>
    </row>
    <row r="73" spans="4:12" x14ac:dyDescent="0.3">
      <c r="F73">
        <v>2023</v>
      </c>
      <c r="G73">
        <v>7500</v>
      </c>
      <c r="H73">
        <f t="shared" si="0"/>
        <v>6.25E-2</v>
      </c>
    </row>
    <row r="74" spans="4:12" x14ac:dyDescent="0.3">
      <c r="F74">
        <v>2024</v>
      </c>
      <c r="G74">
        <v>8000</v>
      </c>
      <c r="H74">
        <f t="shared" si="0"/>
        <v>-3.896103896103896E-2</v>
      </c>
    </row>
    <row r="75" spans="4:12" x14ac:dyDescent="0.3">
      <c r="F75">
        <v>2025</v>
      </c>
      <c r="G75">
        <v>7700</v>
      </c>
      <c r="H75">
        <f>(G75=G74)/G75</f>
        <v>0</v>
      </c>
    </row>
    <row r="77" spans="4:12" x14ac:dyDescent="0.3">
      <c r="G77" t="s">
        <v>58</v>
      </c>
      <c r="H77">
        <f>POWER(G75/G70,1/4)-1</f>
        <v>0.11398714741198224</v>
      </c>
    </row>
    <row r="79" spans="4:12" x14ac:dyDescent="0.3">
      <c r="D79" s="7" t="s">
        <v>59</v>
      </c>
      <c r="E79" s="7"/>
      <c r="F79" s="7"/>
      <c r="G79" s="7"/>
      <c r="H79" s="7"/>
      <c r="I79" s="7"/>
      <c r="J79" s="7"/>
      <c r="K79" s="7"/>
      <c r="L79" s="7"/>
    </row>
    <row r="80" spans="4:12" x14ac:dyDescent="0.3">
      <c r="D80" s="7"/>
      <c r="E80" s="7"/>
      <c r="F80" s="7"/>
      <c r="G80" s="7"/>
      <c r="H80" s="7"/>
      <c r="I80" s="7"/>
      <c r="J80" s="7"/>
      <c r="K80" s="7"/>
      <c r="L80" s="7"/>
    </row>
    <row r="81" spans="4:12" x14ac:dyDescent="0.3">
      <c r="D81" s="7"/>
      <c r="E81" s="7"/>
      <c r="F81" s="7"/>
      <c r="G81" s="7"/>
      <c r="H81" s="7"/>
      <c r="I81" s="7"/>
      <c r="J81" s="7"/>
      <c r="K81" s="7"/>
      <c r="L81" s="7"/>
    </row>
    <row r="82" spans="4:12" ht="21" x14ac:dyDescent="0.4">
      <c r="F82" s="9" t="s">
        <v>0</v>
      </c>
      <c r="G82" s="9" t="s">
        <v>1</v>
      </c>
      <c r="I82" s="12" t="s">
        <v>60</v>
      </c>
    </row>
    <row r="83" spans="4:12" ht="18" x14ac:dyDescent="0.35">
      <c r="F83" s="10" t="s">
        <v>2</v>
      </c>
      <c r="G83" s="11">
        <v>12000</v>
      </c>
      <c r="I83" s="13">
        <f>(G84-G83)/G84</f>
        <v>0.2</v>
      </c>
    </row>
    <row r="84" spans="4:12" ht="18" x14ac:dyDescent="0.35">
      <c r="F84" s="10" t="s">
        <v>3</v>
      </c>
      <c r="G84" s="11">
        <v>15000</v>
      </c>
      <c r="I84" s="13">
        <f t="shared" ref="I84:I94" si="1">(G85-G84)/G85</f>
        <v>-0.36363636363636365</v>
      </c>
    </row>
    <row r="85" spans="4:12" ht="18" x14ac:dyDescent="0.35">
      <c r="F85" s="10" t="s">
        <v>4</v>
      </c>
      <c r="G85" s="11">
        <v>11000</v>
      </c>
      <c r="I85" s="13">
        <f t="shared" si="1"/>
        <v>0.3888888888888889</v>
      </c>
    </row>
    <row r="86" spans="4:12" ht="18" x14ac:dyDescent="0.35">
      <c r="F86" s="10" t="s">
        <v>5</v>
      </c>
      <c r="G86" s="11">
        <v>18000</v>
      </c>
      <c r="I86" s="13">
        <f t="shared" si="1"/>
        <v>-1</v>
      </c>
    </row>
    <row r="87" spans="4:12" ht="18" x14ac:dyDescent="0.35">
      <c r="F87" s="10" t="s">
        <v>6</v>
      </c>
      <c r="G87" s="11">
        <v>9000</v>
      </c>
      <c r="I87" s="13">
        <f t="shared" si="1"/>
        <v>0.5</v>
      </c>
    </row>
    <row r="88" spans="4:12" ht="18" x14ac:dyDescent="0.35">
      <c r="F88" s="10" t="s">
        <v>7</v>
      </c>
      <c r="G88" s="11">
        <v>18000</v>
      </c>
      <c r="I88" s="13">
        <f t="shared" si="1"/>
        <v>0.28000000000000003</v>
      </c>
    </row>
    <row r="89" spans="4:12" ht="18" x14ac:dyDescent="0.35">
      <c r="F89" s="10" t="s">
        <v>8</v>
      </c>
      <c r="G89" s="11">
        <v>25000</v>
      </c>
      <c r="I89" s="13">
        <f t="shared" si="1"/>
        <v>-0.13636363636363635</v>
      </c>
    </row>
    <row r="90" spans="4:12" ht="18" x14ac:dyDescent="0.35">
      <c r="F90" s="10" t="s">
        <v>9</v>
      </c>
      <c r="G90" s="11">
        <v>22000</v>
      </c>
      <c r="I90" s="13">
        <f t="shared" si="1"/>
        <v>0.18518518518518517</v>
      </c>
    </row>
    <row r="91" spans="4:12" ht="18" x14ac:dyDescent="0.35">
      <c r="F91" s="10" t="s">
        <v>10</v>
      </c>
      <c r="G91" s="11">
        <v>27000</v>
      </c>
      <c r="I91" s="13">
        <f t="shared" si="1"/>
        <v>6.8965517241379309E-2</v>
      </c>
    </row>
    <row r="92" spans="4:12" ht="18" x14ac:dyDescent="0.35">
      <c r="F92" s="10" t="s">
        <v>11</v>
      </c>
      <c r="G92" s="11">
        <v>29000</v>
      </c>
      <c r="I92" s="13">
        <f t="shared" si="1"/>
        <v>1.6949152542372881E-2</v>
      </c>
    </row>
    <row r="93" spans="4:12" ht="18" x14ac:dyDescent="0.35">
      <c r="F93" s="10" t="s">
        <v>12</v>
      </c>
      <c r="G93" s="11">
        <v>29500</v>
      </c>
      <c r="I93" s="13">
        <f t="shared" si="1"/>
        <v>0.10606060606060606</v>
      </c>
    </row>
    <row r="94" spans="4:12" ht="18" x14ac:dyDescent="0.35">
      <c r="F94" s="10" t="s">
        <v>13</v>
      </c>
      <c r="G94" s="11">
        <v>33000</v>
      </c>
      <c r="I94" s="13" t="e">
        <f t="shared" si="1"/>
        <v>#DIV/0!</v>
      </c>
    </row>
  </sheetData>
  <mergeCells count="8">
    <mergeCell ref="F65:J68"/>
    <mergeCell ref="D79:L81"/>
    <mergeCell ref="F11:G11"/>
    <mergeCell ref="G15:H15"/>
    <mergeCell ref="F17:H17"/>
    <mergeCell ref="K22:L22"/>
    <mergeCell ref="B37:K38"/>
    <mergeCell ref="F50:L52"/>
  </mergeCells>
  <conditionalFormatting sqref="G83:G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3" operator="greaterThan">
      <formula>21000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3789-A2CA-4A43-B137-D840E71FCBEA}">
  <dimension ref="B1:M27"/>
  <sheetViews>
    <sheetView workbookViewId="0">
      <selection activeCell="I23" sqref="I23"/>
    </sheetView>
  </sheetViews>
  <sheetFormatPr defaultRowHeight="14.4" x14ac:dyDescent="0.3"/>
  <cols>
    <col min="2" max="3" width="9.109375" bestFit="1" customWidth="1"/>
    <col min="10" max="10" width="9.21875" bestFit="1" customWidth="1"/>
  </cols>
  <sheetData>
    <row r="1" spans="2:13" x14ac:dyDescent="0.3">
      <c r="B1" s="7" t="s">
        <v>61</v>
      </c>
      <c r="C1" s="7"/>
      <c r="D1" s="7"/>
      <c r="E1" s="7"/>
      <c r="F1" s="7"/>
      <c r="G1" s="7"/>
      <c r="H1" s="7"/>
    </row>
    <row r="2" spans="2:13" x14ac:dyDescent="0.3">
      <c r="B2" s="7"/>
      <c r="C2" s="7"/>
      <c r="D2" s="7"/>
      <c r="E2" s="7"/>
      <c r="F2" s="7"/>
      <c r="G2" s="7"/>
      <c r="H2" s="7"/>
    </row>
    <row r="3" spans="2:13" x14ac:dyDescent="0.3">
      <c r="B3" s="7"/>
      <c r="C3" s="7"/>
      <c r="D3" s="7"/>
      <c r="E3" s="7"/>
      <c r="F3" s="7"/>
      <c r="G3" s="7"/>
      <c r="H3" s="7"/>
    </row>
    <row r="4" spans="2:13" x14ac:dyDescent="0.3">
      <c r="B4" t="s">
        <v>62</v>
      </c>
      <c r="C4" t="s">
        <v>1</v>
      </c>
      <c r="J4" t="s">
        <v>62</v>
      </c>
      <c r="K4" t="s">
        <v>1</v>
      </c>
    </row>
    <row r="5" spans="2:13" x14ac:dyDescent="0.3">
      <c r="B5" s="14">
        <v>45292</v>
      </c>
      <c r="C5">
        <v>18000</v>
      </c>
      <c r="E5" t="s">
        <v>63</v>
      </c>
      <c r="J5" s="14">
        <v>45392</v>
      </c>
      <c r="K5">
        <v>12000</v>
      </c>
      <c r="M5" t="s">
        <v>64</v>
      </c>
    </row>
    <row r="6" spans="2:13" x14ac:dyDescent="0.3">
      <c r="B6" s="14">
        <v>45303</v>
      </c>
      <c r="C6">
        <v>15000</v>
      </c>
      <c r="J6" s="14">
        <v>45356</v>
      </c>
      <c r="K6">
        <v>22000</v>
      </c>
    </row>
    <row r="7" spans="2:13" x14ac:dyDescent="0.3">
      <c r="B7" s="14">
        <v>45335</v>
      </c>
      <c r="C7">
        <v>25000</v>
      </c>
      <c r="J7" s="14">
        <v>45335</v>
      </c>
      <c r="K7">
        <v>25000</v>
      </c>
    </row>
    <row r="8" spans="2:13" x14ac:dyDescent="0.3">
      <c r="B8" s="14">
        <v>45356</v>
      </c>
      <c r="C8">
        <v>22000</v>
      </c>
      <c r="J8" s="14">
        <v>45303</v>
      </c>
      <c r="K8">
        <v>15000</v>
      </c>
    </row>
    <row r="9" spans="2:13" x14ac:dyDescent="0.3">
      <c r="B9" s="14">
        <v>45392</v>
      </c>
      <c r="C9">
        <v>12000</v>
      </c>
      <c r="J9" s="14">
        <v>45292</v>
      </c>
      <c r="K9">
        <v>18000</v>
      </c>
    </row>
    <row r="12" spans="2:13" x14ac:dyDescent="0.3">
      <c r="C12" t="s">
        <v>62</v>
      </c>
      <c r="D12" t="s">
        <v>1</v>
      </c>
      <c r="F12" t="s">
        <v>65</v>
      </c>
    </row>
    <row r="13" spans="2:13" x14ac:dyDescent="0.3">
      <c r="C13" s="14">
        <v>45392</v>
      </c>
      <c r="D13">
        <v>12000</v>
      </c>
    </row>
    <row r="14" spans="2:13" x14ac:dyDescent="0.3">
      <c r="C14" s="14">
        <v>45303</v>
      </c>
      <c r="D14">
        <v>15000</v>
      </c>
      <c r="F14" t="s">
        <v>66</v>
      </c>
    </row>
    <row r="15" spans="2:13" x14ac:dyDescent="0.3">
      <c r="C15" s="14">
        <v>45292</v>
      </c>
      <c r="D15">
        <v>18000</v>
      </c>
    </row>
    <row r="16" spans="2:13" x14ac:dyDescent="0.3">
      <c r="C16" s="14">
        <v>45356</v>
      </c>
      <c r="D16">
        <v>22000</v>
      </c>
    </row>
    <row r="17" spans="2:8" x14ac:dyDescent="0.3">
      <c r="C17" s="14">
        <v>45394</v>
      </c>
      <c r="D17">
        <v>25000</v>
      </c>
    </row>
    <row r="20" spans="2:8" x14ac:dyDescent="0.3">
      <c r="B20" t="s">
        <v>67</v>
      </c>
      <c r="C20" t="s">
        <v>1</v>
      </c>
      <c r="E20" t="s">
        <v>73</v>
      </c>
      <c r="G20" t="s">
        <v>74</v>
      </c>
    </row>
    <row r="21" spans="2:8" x14ac:dyDescent="0.3">
      <c r="B21" t="s">
        <v>69</v>
      </c>
      <c r="C21">
        <v>30000</v>
      </c>
      <c r="E21" t="s">
        <v>75</v>
      </c>
    </row>
    <row r="22" spans="2:8" x14ac:dyDescent="0.3">
      <c r="B22" t="s">
        <v>71</v>
      </c>
      <c r="C22">
        <v>1200</v>
      </c>
    </row>
    <row r="23" spans="2:8" ht="57.6" customHeight="1" x14ac:dyDescent="0.3">
      <c r="B23" t="s">
        <v>68</v>
      </c>
      <c r="C23">
        <v>1500</v>
      </c>
      <c r="G23" s="15" t="s">
        <v>76</v>
      </c>
      <c r="H23" s="15"/>
    </row>
    <row r="24" spans="2:8" x14ac:dyDescent="0.3">
      <c r="B24" t="s">
        <v>70</v>
      </c>
      <c r="C24">
        <v>500</v>
      </c>
      <c r="G24" s="15"/>
      <c r="H24" s="15"/>
    </row>
    <row r="25" spans="2:8" x14ac:dyDescent="0.3">
      <c r="B25" t="s">
        <v>72</v>
      </c>
      <c r="C25">
        <v>50000</v>
      </c>
      <c r="G25" s="15"/>
      <c r="H25" s="15"/>
    </row>
    <row r="26" spans="2:8" x14ac:dyDescent="0.3">
      <c r="G26" s="15"/>
      <c r="H26" s="15"/>
    </row>
    <row r="27" spans="2:8" x14ac:dyDescent="0.3">
      <c r="G27" s="15"/>
      <c r="H27" s="15"/>
    </row>
  </sheetData>
  <sortState xmlns:xlrd2="http://schemas.microsoft.com/office/spreadsheetml/2017/richdata2" ref="B21:C25">
    <sortCondition descending="1" ref="B20:B25"/>
  </sortState>
  <mergeCells count="2">
    <mergeCell ref="B1:H3"/>
    <mergeCell ref="G23:H27"/>
  </mergeCells>
  <conditionalFormatting sqref="C20:C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2386-5192-47FB-8A89-551CD7FE42C0}">
  <dimension ref="A1:F13"/>
  <sheetViews>
    <sheetView tabSelected="1" workbookViewId="0">
      <selection activeCell="N7" sqref="N7"/>
    </sheetView>
  </sheetViews>
  <sheetFormatPr defaultRowHeight="14.4" x14ac:dyDescent="0.3"/>
  <cols>
    <col min="1" max="1" width="19" customWidth="1"/>
    <col min="2" max="2" width="17" customWidth="1"/>
  </cols>
  <sheetData>
    <row r="1" spans="1:6" x14ac:dyDescent="0.3">
      <c r="A1" s="17" t="s">
        <v>77</v>
      </c>
      <c r="B1" s="17" t="s">
        <v>78</v>
      </c>
    </row>
    <row r="2" spans="1:6" x14ac:dyDescent="0.3">
      <c r="A2" s="17">
        <v>45295.416666666664</v>
      </c>
      <c r="B2" s="17">
        <v>45326.520833333336</v>
      </c>
      <c r="D2">
        <f>B2-A2</f>
        <v>31.104166666671517</v>
      </c>
    </row>
    <row r="3" spans="1:6" x14ac:dyDescent="0.3">
      <c r="A3" s="17">
        <v>45355.385416666664</v>
      </c>
      <c r="B3" s="17">
        <v>45355.78125</v>
      </c>
    </row>
    <row r="4" spans="1:6" x14ac:dyDescent="0.3">
      <c r="A4" s="17">
        <v>45416.583333333336</v>
      </c>
      <c r="B4" s="17">
        <v>45447.666666666664</v>
      </c>
      <c r="C4" t="s">
        <v>79</v>
      </c>
      <c r="D4">
        <f>DATE(2024,4,1)</f>
        <v>45383</v>
      </c>
    </row>
    <row r="6" spans="1:6" x14ac:dyDescent="0.3">
      <c r="C6" s="16" t="s">
        <v>80</v>
      </c>
      <c r="D6">
        <f>YEAR(A2)</f>
        <v>2024</v>
      </c>
    </row>
    <row r="7" spans="1:6" x14ac:dyDescent="0.3">
      <c r="C7" t="s">
        <v>81</v>
      </c>
      <c r="D7">
        <f>MONTH(A2)</f>
        <v>1</v>
      </c>
    </row>
    <row r="8" spans="1:6" x14ac:dyDescent="0.3">
      <c r="C8" t="s">
        <v>82</v>
      </c>
      <c r="D8">
        <f>DAY(A2)</f>
        <v>4</v>
      </c>
    </row>
    <row r="9" spans="1:6" x14ac:dyDescent="0.3">
      <c r="C9" t="s">
        <v>83</v>
      </c>
      <c r="D9" s="18">
        <f>DATE(YEAR(D6),MONTH(D7),DAY(D8))</f>
        <v>1831</v>
      </c>
    </row>
    <row r="10" spans="1:6" x14ac:dyDescent="0.3">
      <c r="B10" s="19" t="s">
        <v>84</v>
      </c>
      <c r="C10" s="19"/>
      <c r="D10" s="19"/>
      <c r="E10" s="19"/>
      <c r="F10" s="19"/>
    </row>
    <row r="11" spans="1:6" x14ac:dyDescent="0.3">
      <c r="B11" s="19"/>
      <c r="C11" s="19"/>
      <c r="D11" s="19"/>
      <c r="E11" s="19"/>
      <c r="F11" s="19"/>
    </row>
    <row r="12" spans="1:6" x14ac:dyDescent="0.3">
      <c r="B12" s="19"/>
      <c r="C12" s="19"/>
      <c r="D12" s="19"/>
      <c r="E12" s="19"/>
      <c r="F12" s="19"/>
    </row>
    <row r="13" spans="1:6" x14ac:dyDescent="0.3">
      <c r="B13" s="19"/>
      <c r="C13" s="19"/>
      <c r="D13" s="19"/>
      <c r="E13" s="19"/>
      <c r="F13" s="19"/>
    </row>
  </sheetData>
  <mergeCells count="1">
    <mergeCell ref="B10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kumar</dc:creator>
  <cp:lastModifiedBy>pushkar kumar</cp:lastModifiedBy>
  <dcterms:created xsi:type="dcterms:W3CDTF">2026-03-31T20:41:30Z</dcterms:created>
  <dcterms:modified xsi:type="dcterms:W3CDTF">2026-04-05T13:42:45Z</dcterms:modified>
</cp:coreProperties>
</file>